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Model" sheetId="1" state="visible" r:id="rId1"/>
    <sheet name="Income Statement" sheetId="2" state="visible" r:id="rId2"/>
    <sheet name="Cash Flow" sheetId="3" state="visible" r:id="rId3"/>
    <sheet name="Balance Sheet" sheetId="4" state="visible" r:id="rId4"/>
    <sheet name="Scenarios" sheetId="5" state="visible" r:id="rId5"/>
    <sheet name="DCF Inputs" sheetId="6" state="visible" r:id="rId6"/>
    <sheet name="DCF Analysis" sheetId="7" state="visible" r:id="rId7"/>
    <sheet name="Sensitivity Analysis" sheetId="8" state="visible" r:id="rId8"/>
    <sheet name="Comparable Companies" sheetId="9" state="visible" r:id="rId9"/>
    <sheet name="Valuation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#0.00"/>
    <numFmt numFmtId="166" formatCode="0.0000"/>
    <numFmt numFmtId="167" formatCode="##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  <font>
      <name val="Calibri"/>
      <b val="1"/>
      <color rgb="00C00000"/>
      <sz val="9"/>
    </font>
    <font>
      <name val="Calibri"/>
      <b val="1"/>
      <sz val="9"/>
    </font>
    <font>
      <name val="Calibri"/>
      <sz val="8"/>
    </font>
    <font>
      <name val="Calibri"/>
      <b val="1"/>
      <color rgb="002F5496"/>
      <sz val="9"/>
    </font>
    <font>
      <name val="Calibri"/>
      <b val="1"/>
      <color rgb="00FFFFFF"/>
      <sz val="10"/>
    </font>
    <font>
      <name val="Calibri"/>
      <i val="1"/>
      <color rgb="00000000"/>
      <sz val="8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3" fontId="2" fillId="6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5" fontId="4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right" vertical="center"/>
    </xf>
    <xf numFmtId="165" fontId="2" fillId="6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/>
    </xf>
    <xf numFmtId="164" fontId="4" fillId="8" borderId="1" applyAlignment="1" pivotButton="0" quotePrefix="0" xfId="0">
      <alignment horizontal="right"/>
    </xf>
    <xf numFmtId="3" fontId="4" fillId="8" borderId="1" applyAlignment="1" pivotButton="0" quotePrefix="0" xfId="0">
      <alignment horizontal="right"/>
    </xf>
    <xf numFmtId="165" fontId="4" fillId="8" borderId="1" applyAlignment="1" pivotButton="0" quotePrefix="0" xfId="0">
      <alignment horizontal="right"/>
    </xf>
    <xf numFmtId="3" fontId="2" fillId="6" borderId="1" applyAlignment="1" pivotButton="0" quotePrefix="0" xfId="0">
      <alignment horizontal="right"/>
    </xf>
    <xf numFmtId="0" fontId="7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/>
    </xf>
    <xf numFmtId="164" fontId="2" fillId="6" borderId="1" applyAlignment="1" pivotButton="0" quotePrefix="0" xfId="0">
      <alignment horizontal="right"/>
    </xf>
    <xf numFmtId="3" fontId="4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0" fontId="0" fillId="5" borderId="1" pivotButton="0" quotePrefix="0" xfId="0"/>
    <xf numFmtId="0" fontId="2" fillId="7" borderId="1" applyAlignment="1" pivotButton="0" quotePrefix="0" xfId="0">
      <alignment horizontal="left"/>
    </xf>
    <xf numFmtId="0" fontId="7" fillId="7" borderId="1" applyAlignment="1" pivotButton="0" quotePrefix="0" xfId="0">
      <alignment horizontal="center"/>
    </xf>
    <xf numFmtId="0" fontId="0" fillId="7" borderId="1" pivotButton="0" quotePrefix="0" xfId="0"/>
    <xf numFmtId="0" fontId="2" fillId="8" borderId="1" applyAlignment="1" pivotButton="0" quotePrefix="0" xfId="0">
      <alignment horizontal="left"/>
    </xf>
    <xf numFmtId="0" fontId="7" fillId="8" borderId="1" applyAlignment="1" pivotButton="0" quotePrefix="0" xfId="0">
      <alignment horizontal="center"/>
    </xf>
    <xf numFmtId="0" fontId="0" fillId="8" borderId="1" pivotButton="0" quotePrefix="0" xfId="0"/>
    <xf numFmtId="0" fontId="0" fillId="6" borderId="1" pivotButton="0" quotePrefix="0" xfId="0"/>
    <xf numFmtId="3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right" vertical="center"/>
    </xf>
    <xf numFmtId="10" fontId="2" fillId="5" borderId="1" applyAlignment="1" pivotButton="0" quotePrefix="0" xfId="0">
      <alignment horizontal="right" vertical="center"/>
    </xf>
    <xf numFmtId="166" fontId="2" fillId="5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10" fillId="3" borderId="1" pivotButton="0" quotePrefix="0" xfId="0"/>
    <xf numFmtId="0" fontId="2" fillId="4" borderId="1" applyAlignment="1" pivotButton="0" quotePrefix="0" xfId="0">
      <alignment horizontal="left" vertical="center"/>
    </xf>
    <xf numFmtId="3" fontId="2" fillId="9" borderId="1" applyAlignment="1" pivotButton="0" quotePrefix="0" xfId="0">
      <alignment horizontal="right" vertical="center"/>
    </xf>
    <xf numFmtId="0" fontId="1" fillId="3" borderId="1" pivotButton="0" quotePrefix="0" xfId="0"/>
    <xf numFmtId="0" fontId="2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167" fontId="2" fillId="8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0" fontId="1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ITC LIMITED — REVENUE MODEL  (₹ Crore)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Line Item</t>
        </is>
      </c>
      <c r="B2" s="4" t="inlineStr">
        <is>
          <t>FY21A</t>
        </is>
      </c>
      <c r="C2" s="4" t="inlineStr">
        <is>
          <t>FY22A</t>
        </is>
      </c>
      <c r="D2" s="4" t="inlineStr">
        <is>
          <t>FY23A</t>
        </is>
      </c>
      <c r="E2" s="4" t="inlineStr">
        <is>
          <t>FY24A</t>
        </is>
      </c>
      <c r="F2" s="4" t="inlineStr">
        <is>
          <t>FY25A</t>
        </is>
      </c>
      <c r="G2" s="4" t="inlineStr">
        <is>
          <t>FY26E</t>
        </is>
      </c>
      <c r="H2" s="4" t="inlineStr">
        <is>
          <t>FY27E</t>
        </is>
      </c>
      <c r="I2" s="4" t="inlineStr">
        <is>
          <t>FY28E</t>
        </is>
      </c>
      <c r="J2" s="4" t="inlineStr">
        <is>
          <t>FY29E</t>
        </is>
      </c>
      <c r="K2" s="4" t="inlineStr">
        <is>
          <t>FY30E</t>
        </is>
      </c>
    </row>
    <row r="3">
      <c r="A3" s="5" t="inlineStr">
        <is>
          <t>A.  REVENUE BY SEGMENT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6" t="inlineStr">
        <is>
          <t xml:space="preserve">  Cigarettes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</row>
    <row r="5">
      <c r="A5" s="7" t="inlineStr">
        <is>
          <t xml:space="preserve">    Cigarettes Gross Revenue</t>
        </is>
      </c>
      <c r="B5" s="8" t="n">
        <v>28750</v>
      </c>
      <c r="C5" s="8" t="n">
        <v>34220</v>
      </c>
      <c r="D5" s="8" t="n">
        <v>37980</v>
      </c>
      <c r="E5" s="8" t="n">
        <v>41035</v>
      </c>
      <c r="F5" s="8" t="n">
        <v>43040</v>
      </c>
      <c r="G5" s="8" t="n">
        <v>45880</v>
      </c>
      <c r="H5" s="8" t="n">
        <v>49060</v>
      </c>
      <c r="I5" s="8" t="n">
        <v>52490</v>
      </c>
      <c r="J5" s="8" t="n">
        <v>56160</v>
      </c>
      <c r="K5" s="8" t="n">
        <v>60090</v>
      </c>
    </row>
    <row r="6">
      <c r="A6" s="9" t="inlineStr">
        <is>
          <t xml:space="preserve">    Less: Excise Duty</t>
        </is>
      </c>
      <c r="B6" s="10" t="n">
        <v>-15500</v>
      </c>
      <c r="C6" s="10" t="n">
        <v>-18600</v>
      </c>
      <c r="D6" s="10" t="n">
        <v>-20700</v>
      </c>
      <c r="E6" s="10" t="n">
        <v>-22220</v>
      </c>
      <c r="F6" s="10" t="n">
        <v>-23200</v>
      </c>
      <c r="G6" s="10" t="n">
        <v>-24850</v>
      </c>
      <c r="H6" s="10" t="n">
        <v>-26570</v>
      </c>
      <c r="I6" s="10" t="n">
        <v>-28430</v>
      </c>
      <c r="J6" s="10" t="n">
        <v>-30420</v>
      </c>
      <c r="K6" s="10" t="n">
        <v>-32550</v>
      </c>
    </row>
    <row r="7">
      <c r="A7" s="11" t="inlineStr">
        <is>
          <t xml:space="preserve">  Cigarettes Net Revenue</t>
        </is>
      </c>
      <c r="B7" s="12" t="n">
        <v>13250</v>
      </c>
      <c r="C7" s="12" t="n">
        <v>15620</v>
      </c>
      <c r="D7" s="12" t="n">
        <v>17280</v>
      </c>
      <c r="E7" s="12" t="n">
        <v>18815</v>
      </c>
      <c r="F7" s="12" t="n">
        <v>19840</v>
      </c>
      <c r="G7" s="12" t="n">
        <v>21030</v>
      </c>
      <c r="H7" s="12" t="n">
        <v>22490</v>
      </c>
      <c r="I7" s="12" t="n">
        <v>24060</v>
      </c>
      <c r="J7" s="12" t="n">
        <v>25740</v>
      </c>
      <c r="K7" s="12" t="n">
        <v>27540</v>
      </c>
    </row>
    <row r="8">
      <c r="A8" s="13" t="inlineStr">
        <is>
          <t xml:space="preserve">    YoY Growth %</t>
        </is>
      </c>
      <c r="B8" s="14" t="n"/>
      <c r="C8" s="14" t="n">
        <v>0.179</v>
      </c>
      <c r="D8" s="14" t="n">
        <v>0.106</v>
      </c>
      <c r="E8" s="14" t="n">
        <v>0.08900000000000001</v>
      </c>
      <c r="F8" s="14" t="n">
        <v>0.05400000000000001</v>
      </c>
      <c r="G8" s="14" t="n">
        <v>0.06</v>
      </c>
      <c r="H8" s="14" t="n">
        <v>0.06900000000000001</v>
      </c>
      <c r="I8" s="14" t="n">
        <v>0.07000000000000001</v>
      </c>
      <c r="J8" s="14" t="n">
        <v>0.07000000000000001</v>
      </c>
      <c r="K8" s="14" t="n">
        <v>0.07000000000000001</v>
      </c>
    </row>
    <row r="9">
      <c r="A9" s="6" t="inlineStr">
        <is>
          <t xml:space="preserve">  FMCG – Others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3" t="n"/>
    </row>
    <row r="10">
      <c r="A10" s="7" t="inlineStr">
        <is>
          <t xml:space="preserve">    Branded Foods (Aashirvaad/Sunfeast/Bingo!/Yippee!)</t>
        </is>
      </c>
      <c r="B10" s="8" t="n">
        <v>10200</v>
      </c>
      <c r="C10" s="8" t="n">
        <v>12890</v>
      </c>
      <c r="D10" s="8" t="n">
        <v>14620</v>
      </c>
      <c r="E10" s="8" t="n">
        <v>15780</v>
      </c>
      <c r="F10" s="8" t="n">
        <v>17240</v>
      </c>
      <c r="G10" s="8" t="n">
        <v>19450</v>
      </c>
      <c r="H10" s="8" t="n">
        <v>22600</v>
      </c>
      <c r="I10" s="8" t="n">
        <v>26220</v>
      </c>
      <c r="J10" s="8" t="n">
        <v>30410</v>
      </c>
      <c r="K10" s="8" t="n">
        <v>35280</v>
      </c>
    </row>
    <row r="11">
      <c r="A11" s="7" t="inlineStr">
        <is>
          <t xml:space="preserve">    Personal Care, Stationery &amp; Others</t>
        </is>
      </c>
      <c r="B11" s="8" t="n">
        <v>3050</v>
      </c>
      <c r="C11" s="8" t="n">
        <v>3650</v>
      </c>
      <c r="D11" s="8" t="n">
        <v>3970</v>
      </c>
      <c r="E11" s="8" t="n">
        <v>4400</v>
      </c>
      <c r="F11" s="8" t="n">
        <v>4740</v>
      </c>
      <c r="G11" s="8" t="n">
        <v>5320</v>
      </c>
      <c r="H11" s="8" t="n">
        <v>5980</v>
      </c>
      <c r="I11" s="8" t="n">
        <v>6720</v>
      </c>
      <c r="J11" s="8" t="n">
        <v>7550</v>
      </c>
      <c r="K11" s="8" t="n">
        <v>8490</v>
      </c>
    </row>
    <row r="12">
      <c r="A12" s="11" t="inlineStr">
        <is>
          <t xml:space="preserve">  FMCG-Others Total</t>
        </is>
      </c>
      <c r="B12" s="12" t="n">
        <v>13250</v>
      </c>
      <c r="C12" s="12" t="n">
        <v>16540</v>
      </c>
      <c r="D12" s="12" t="n">
        <v>18590</v>
      </c>
      <c r="E12" s="12" t="n">
        <v>20180</v>
      </c>
      <c r="F12" s="12" t="n">
        <v>21980</v>
      </c>
      <c r="G12" s="12" t="n">
        <v>24770</v>
      </c>
      <c r="H12" s="12" t="n">
        <v>28580</v>
      </c>
      <c r="I12" s="12" t="n">
        <v>32940</v>
      </c>
      <c r="J12" s="12" t="n">
        <v>37960</v>
      </c>
      <c r="K12" s="12" t="n">
        <v>43770</v>
      </c>
    </row>
    <row r="13">
      <c r="A13" s="13" t="inlineStr">
        <is>
          <t xml:space="preserve">    YoY Growth %</t>
        </is>
      </c>
      <c r="B13" s="14" t="n"/>
      <c r="C13" s="14" t="n">
        <v>0.248</v>
      </c>
      <c r="D13" s="14" t="n">
        <v>0.124</v>
      </c>
      <c r="E13" s="14" t="n">
        <v>0.08599999999999999</v>
      </c>
      <c r="F13" s="14" t="n">
        <v>0.08900000000000001</v>
      </c>
      <c r="G13" s="14" t="n">
        <v>0.127</v>
      </c>
      <c r="H13" s="14" t="n">
        <v>0.154</v>
      </c>
      <c r="I13" s="14" t="n">
        <v>0.153</v>
      </c>
      <c r="J13" s="14" t="n">
        <v>0.152</v>
      </c>
      <c r="K13" s="14" t="n">
        <v>0.153</v>
      </c>
    </row>
    <row r="14">
      <c r="A14" s="6" t="inlineStr">
        <is>
          <t xml:space="preserve">  Agribusiness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/>
    </row>
    <row r="15">
      <c r="A15" s="7" t="inlineStr">
        <is>
          <t xml:space="preserve">    Leaf Tobacco &amp; Spices Exports</t>
        </is>
      </c>
      <c r="B15" s="8" t="n">
        <v>6800</v>
      </c>
      <c r="C15" s="8" t="n">
        <v>10280</v>
      </c>
      <c r="D15" s="8" t="n">
        <v>12640</v>
      </c>
      <c r="E15" s="8" t="n">
        <v>12460</v>
      </c>
      <c r="F15" s="8" t="n">
        <v>13310</v>
      </c>
      <c r="G15" s="8" t="n">
        <v>14540</v>
      </c>
      <c r="H15" s="8" t="n">
        <v>15980</v>
      </c>
      <c r="I15" s="8" t="n">
        <v>17580</v>
      </c>
      <c r="J15" s="8" t="n">
        <v>19340</v>
      </c>
      <c r="K15" s="8" t="n">
        <v>21280</v>
      </c>
    </row>
    <row r="16">
      <c r="A16" s="7" t="inlineStr">
        <is>
          <t xml:space="preserve">    Wheat, Pulses, Coffee &amp; Other Agri</t>
        </is>
      </c>
      <c r="B16" s="8" t="n">
        <v>2450</v>
      </c>
      <c r="C16" s="8" t="n">
        <v>3950</v>
      </c>
      <c r="D16" s="8" t="n">
        <v>4840</v>
      </c>
      <c r="E16" s="8" t="n">
        <v>4850</v>
      </c>
      <c r="F16" s="8" t="n">
        <v>5250</v>
      </c>
      <c r="G16" s="8" t="n">
        <v>5830</v>
      </c>
      <c r="H16" s="8" t="n">
        <v>6450</v>
      </c>
      <c r="I16" s="8" t="n">
        <v>7140</v>
      </c>
      <c r="J16" s="8" t="n">
        <v>7920</v>
      </c>
      <c r="K16" s="8" t="n">
        <v>8780</v>
      </c>
    </row>
    <row r="17">
      <c r="A17" s="11" t="inlineStr">
        <is>
          <t xml:space="preserve">  Agribusiness Total</t>
        </is>
      </c>
      <c r="B17" s="12" t="n">
        <v>9250</v>
      </c>
      <c r="C17" s="12" t="n">
        <v>14230</v>
      </c>
      <c r="D17" s="12" t="n">
        <v>17480</v>
      </c>
      <c r="E17" s="12" t="n">
        <v>17310</v>
      </c>
      <c r="F17" s="12" t="n">
        <v>18560</v>
      </c>
      <c r="G17" s="12" t="n">
        <v>20370</v>
      </c>
      <c r="H17" s="12" t="n">
        <v>22430</v>
      </c>
      <c r="I17" s="12" t="n">
        <v>24720</v>
      </c>
      <c r="J17" s="12" t="n">
        <v>27260</v>
      </c>
      <c r="K17" s="12" t="n">
        <v>30060</v>
      </c>
    </row>
    <row r="18">
      <c r="A18" s="13" t="inlineStr">
        <is>
          <t xml:space="preserve">    YoY Growth %</t>
        </is>
      </c>
      <c r="B18" s="14" t="n"/>
      <c r="C18" s="14" t="n">
        <v>0.5379999999999999</v>
      </c>
      <c r="D18" s="14" t="n">
        <v>0.228</v>
      </c>
      <c r="E18" s="14" t="n">
        <v>-0.01</v>
      </c>
      <c r="F18" s="14" t="n">
        <v>0.07200000000000001</v>
      </c>
      <c r="G18" s="14" t="n">
        <v>0.098</v>
      </c>
      <c r="H18" s="14" t="n">
        <v>0.101</v>
      </c>
      <c r="I18" s="14" t="n">
        <v>0.102</v>
      </c>
      <c r="J18" s="14" t="n">
        <v>0.103</v>
      </c>
      <c r="K18" s="14" t="n">
        <v>0.103</v>
      </c>
    </row>
    <row r="19">
      <c r="A19" s="6" t="inlineStr">
        <is>
          <t xml:space="preserve">  Paperboards, Paper &amp; Packaging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3" t="n"/>
    </row>
    <row r="20">
      <c r="A20" s="7" t="inlineStr">
        <is>
          <t xml:space="preserve">    Paperboards, Paper &amp; Packaging Revenue</t>
        </is>
      </c>
      <c r="B20" s="8" t="n">
        <v>6200</v>
      </c>
      <c r="C20" s="8" t="n">
        <v>7350</v>
      </c>
      <c r="D20" s="8" t="n">
        <v>8450</v>
      </c>
      <c r="E20" s="8" t="n">
        <v>8520</v>
      </c>
      <c r="F20" s="8" t="n">
        <v>7980</v>
      </c>
      <c r="G20" s="8" t="n">
        <v>8540</v>
      </c>
      <c r="H20" s="8" t="n">
        <v>9150</v>
      </c>
      <c r="I20" s="8" t="n">
        <v>9800</v>
      </c>
      <c r="J20" s="8" t="n">
        <v>10490</v>
      </c>
      <c r="K20" s="8" t="n">
        <v>11220</v>
      </c>
    </row>
    <row r="21">
      <c r="A21" s="13" t="inlineStr">
        <is>
          <t xml:space="preserve">    YoY Growth %</t>
        </is>
      </c>
      <c r="B21" s="14" t="n"/>
      <c r="C21" s="14" t="n">
        <v>0.185</v>
      </c>
      <c r="D21" s="14" t="n">
        <v>0.15</v>
      </c>
      <c r="E21" s="14" t="n">
        <v>0.008</v>
      </c>
      <c r="F21" s="14" t="n">
        <v>-0.063</v>
      </c>
      <c r="G21" s="14" t="n">
        <v>0.07000000000000001</v>
      </c>
      <c r="H21" s="14" t="n">
        <v>0.07099999999999999</v>
      </c>
      <c r="I21" s="14" t="n">
        <v>0.07099999999999999</v>
      </c>
      <c r="J21" s="14" t="n">
        <v>0.07000000000000001</v>
      </c>
      <c r="K21" s="14" t="n">
        <v>0.07000000000000001</v>
      </c>
    </row>
    <row r="22">
      <c r="A22" s="6" t="inlineStr">
        <is>
          <t xml:space="preserve">  Hotels (Discontinued Jan 2025)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/>
    </row>
    <row r="23">
      <c r="A23" s="7" t="inlineStr">
        <is>
          <t xml:space="preserve">    Hotels Revenue (included until demerger)</t>
        </is>
      </c>
      <c r="B23" s="8" t="n">
        <v>1180</v>
      </c>
      <c r="C23" s="8" t="n">
        <v>1480</v>
      </c>
      <c r="D23" s="8" t="n">
        <v>2450</v>
      </c>
      <c r="E23" s="8" t="n">
        <v>2890</v>
      </c>
      <c r="F23" s="8" t="n">
        <v>834</v>
      </c>
      <c r="G23" s="8" t="n"/>
      <c r="H23" s="8" t="n"/>
      <c r="I23" s="8" t="n"/>
      <c r="J23" s="8" t="n"/>
      <c r="K23" s="8" t="n"/>
    </row>
    <row r="25">
      <c r="A25" s="6" t="inlineStr">
        <is>
          <t xml:space="preserve">  ITC Infotech &amp; Others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6">
      <c r="A26" s="7" t="inlineStr">
        <is>
          <t xml:space="preserve">    ITC Infotech &amp; Others Revenue</t>
        </is>
      </c>
      <c r="B26" s="8" t="n">
        <v>1600</v>
      </c>
      <c r="C26" s="8" t="n">
        <v>1780</v>
      </c>
      <c r="D26" s="8" t="n">
        <v>1970</v>
      </c>
      <c r="E26" s="8" t="n">
        <v>2210</v>
      </c>
      <c r="F26" s="8" t="n">
        <v>2420</v>
      </c>
      <c r="G26" s="8" t="n">
        <v>2710</v>
      </c>
      <c r="H26" s="8" t="n">
        <v>3040</v>
      </c>
      <c r="I26" s="8" t="n">
        <v>3410</v>
      </c>
      <c r="J26" s="8" t="n">
        <v>3820</v>
      </c>
      <c r="K26" s="8" t="n">
        <v>4280</v>
      </c>
    </row>
    <row r="28">
      <c r="A28" s="1" t="inlineStr">
        <is>
          <t xml:space="preserve">  CONSOLIDATED TOTALS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  <row r="29">
      <c r="A29" s="15" t="inlineStr">
        <is>
          <t>TOTAL NET REVENUE (ex-excise)</t>
        </is>
      </c>
      <c r="B29" s="16" t="n">
        <v>27448</v>
      </c>
      <c r="C29" s="16" t="n">
        <v>34588</v>
      </c>
      <c r="D29" s="16" t="n">
        <v>39460</v>
      </c>
      <c r="E29" s="16" t="n">
        <v>41870</v>
      </c>
      <c r="F29" s="16" t="n">
        <v>43011</v>
      </c>
      <c r="G29" s="16" t="n">
        <v>47310</v>
      </c>
      <c r="H29" s="16" t="n">
        <v>52140</v>
      </c>
      <c r="I29" s="16" t="n">
        <v>57360</v>
      </c>
      <c r="J29" s="16" t="n">
        <v>62100</v>
      </c>
      <c r="K29" s="16" t="n">
        <v>67200</v>
      </c>
    </row>
    <row r="30">
      <c r="A30" s="15" t="inlineStr">
        <is>
          <t>TOTAL GROSS REVENUE (incl. excise)</t>
        </is>
      </c>
      <c r="B30" s="16" t="n">
        <v>47902</v>
      </c>
      <c r="C30" s="16" t="n">
        <v>59214</v>
      </c>
      <c r="D30" s="16" t="n">
        <v>69446</v>
      </c>
      <c r="E30" s="16" t="n">
        <v>71985</v>
      </c>
      <c r="F30" s="16" t="n">
        <v>73465</v>
      </c>
      <c r="G30" s="16" t="n">
        <v>77640</v>
      </c>
      <c r="H30" s="16" t="n">
        <v>83580</v>
      </c>
      <c r="I30" s="16" t="n">
        <v>90020</v>
      </c>
      <c r="J30" s="16" t="n">
        <v>97100</v>
      </c>
      <c r="K30" s="16" t="n">
        <v>105000</v>
      </c>
    </row>
    <row r="31">
      <c r="A31" s="17" t="inlineStr">
        <is>
          <t>Net Revenue Growth %</t>
        </is>
      </c>
      <c r="B31" s="18" t="n"/>
      <c r="C31" s="18" t="n">
        <v>0.26</v>
      </c>
      <c r="D31" s="18" t="n">
        <v>0.141</v>
      </c>
      <c r="E31" s="18" t="n">
        <v>0.061</v>
      </c>
      <c r="F31" s="18" t="n">
        <v>0.027</v>
      </c>
      <c r="G31" s="18" t="n">
        <v>0.1</v>
      </c>
      <c r="H31" s="18" t="n">
        <v>0.102</v>
      </c>
      <c r="I31" s="18" t="n">
        <v>0.1</v>
      </c>
      <c r="J31" s="18" t="n">
        <v>0.083</v>
      </c>
      <c r="K31" s="18" t="n">
        <v>0.08199999999999999</v>
      </c>
    </row>
    <row r="33">
      <c r="A33" s="5" t="inlineStr">
        <is>
          <t>B.  REVENUE BY GEOGRAPHY (₹ Crore)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3" t="n"/>
    </row>
    <row r="34">
      <c r="A34" s="4" t="inlineStr">
        <is>
          <t>Line Item</t>
        </is>
      </c>
      <c r="B34" s="4" t="inlineStr">
        <is>
          <t>FY21A</t>
        </is>
      </c>
      <c r="C34" s="4" t="inlineStr">
        <is>
          <t>FY22A</t>
        </is>
      </c>
      <c r="D34" s="4" t="inlineStr">
        <is>
          <t>FY23A</t>
        </is>
      </c>
      <c r="E34" s="4" t="inlineStr">
        <is>
          <t>FY24A</t>
        </is>
      </c>
      <c r="F34" s="4" t="inlineStr">
        <is>
          <t>FY25A</t>
        </is>
      </c>
      <c r="G34" s="4" t="inlineStr">
        <is>
          <t>FY26E</t>
        </is>
      </c>
      <c r="H34" s="4" t="inlineStr">
        <is>
          <t>FY27E</t>
        </is>
      </c>
      <c r="I34" s="4" t="inlineStr">
        <is>
          <t>FY28E</t>
        </is>
      </c>
      <c r="J34" s="4" t="inlineStr">
        <is>
          <t>FY29E</t>
        </is>
      </c>
      <c r="K34" s="4" t="inlineStr">
        <is>
          <t>FY30E</t>
        </is>
      </c>
    </row>
    <row r="35">
      <c r="A35" s="6" t="inlineStr">
        <is>
          <t xml:space="preserve">  India (Domestic)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3" t="n"/>
    </row>
    <row r="36">
      <c r="A36" s="7" t="inlineStr">
        <is>
          <t xml:space="preserve">    FMCG (Cigarettes + Others)</t>
        </is>
      </c>
      <c r="B36" s="8" t="n">
        <v>20900</v>
      </c>
      <c r="C36" s="8" t="n">
        <v>25510</v>
      </c>
      <c r="D36" s="8" t="n">
        <v>28830</v>
      </c>
      <c r="E36" s="8" t="n">
        <v>31050</v>
      </c>
      <c r="F36" s="8" t="n">
        <v>33350</v>
      </c>
      <c r="G36" s="8" t="n">
        <v>37500</v>
      </c>
      <c r="H36" s="8" t="n">
        <v>42200</v>
      </c>
      <c r="I36" s="8" t="n">
        <v>47200</v>
      </c>
      <c r="J36" s="8" t="n">
        <v>52500</v>
      </c>
      <c r="K36" s="8" t="n">
        <v>58400</v>
      </c>
    </row>
    <row r="37">
      <c r="A37" s="7" t="inlineStr">
        <is>
          <t xml:space="preserve">    Paperboards &amp; Paper</t>
        </is>
      </c>
      <c r="B37" s="8" t="n">
        <v>5100</v>
      </c>
      <c r="C37" s="8" t="n">
        <v>5940</v>
      </c>
      <c r="D37" s="8" t="n">
        <v>6780</v>
      </c>
      <c r="E37" s="8" t="n">
        <v>6860</v>
      </c>
      <c r="F37" s="8" t="n">
        <v>6500</v>
      </c>
      <c r="G37" s="8" t="n">
        <v>6970</v>
      </c>
      <c r="H37" s="8" t="n">
        <v>7480</v>
      </c>
      <c r="I37" s="8" t="n">
        <v>8030</v>
      </c>
      <c r="J37" s="8" t="n">
        <v>8620</v>
      </c>
      <c r="K37" s="8" t="n">
        <v>9260</v>
      </c>
    </row>
    <row r="38">
      <c r="A38" s="7" t="inlineStr">
        <is>
          <t xml:space="preserve">    Hotels (until FY24)</t>
        </is>
      </c>
      <c r="B38" s="8" t="n">
        <v>1180</v>
      </c>
      <c r="C38" s="8" t="n">
        <v>1480</v>
      </c>
      <c r="D38" s="8" t="n">
        <v>2450</v>
      </c>
      <c r="E38" s="8" t="n">
        <v>2890</v>
      </c>
      <c r="F38" s="8" t="n">
        <v>834</v>
      </c>
      <c r="G38" s="8" t="n"/>
      <c r="H38" s="8" t="n"/>
      <c r="I38" s="8" t="n"/>
      <c r="J38" s="8" t="n"/>
      <c r="K38" s="8" t="n"/>
    </row>
    <row r="39">
      <c r="A39" s="7" t="inlineStr">
        <is>
          <t xml:space="preserve">    Other Domestic</t>
        </is>
      </c>
      <c r="B39" s="8" t="n">
        <v>900</v>
      </c>
      <c r="C39" s="8" t="n">
        <v>1050</v>
      </c>
      <c r="D39" s="8" t="n">
        <v>1150</v>
      </c>
      <c r="E39" s="8" t="n">
        <v>1280</v>
      </c>
      <c r="F39" s="8" t="n">
        <v>1450</v>
      </c>
      <c r="G39" s="8" t="n">
        <v>1620</v>
      </c>
      <c r="H39" s="8" t="n">
        <v>1820</v>
      </c>
      <c r="I39" s="8" t="n">
        <v>2040</v>
      </c>
      <c r="J39" s="8" t="n">
        <v>2290</v>
      </c>
      <c r="K39" s="8" t="n">
        <v>2570</v>
      </c>
    </row>
    <row r="40">
      <c r="A40" s="11" t="inlineStr">
        <is>
          <t xml:space="preserve">  India Total</t>
        </is>
      </c>
      <c r="B40" s="12" t="n">
        <v>28080</v>
      </c>
      <c r="C40" s="12" t="n">
        <v>33980</v>
      </c>
      <c r="D40" s="12" t="n">
        <v>39210</v>
      </c>
      <c r="E40" s="12" t="n">
        <v>42080</v>
      </c>
      <c r="F40" s="12" t="n">
        <v>42134</v>
      </c>
      <c r="G40" s="12" t="n">
        <v>46090</v>
      </c>
      <c r="H40" s="12" t="n">
        <v>51500</v>
      </c>
      <c r="I40" s="12" t="n">
        <v>57270</v>
      </c>
      <c r="J40" s="12" t="n">
        <v>63410</v>
      </c>
      <c r="K40" s="12" t="n">
        <v>70230</v>
      </c>
    </row>
    <row r="41">
      <c r="A41" s="6" t="inlineStr">
        <is>
          <t xml:space="preserve">  Exports &amp; International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3" t="n"/>
    </row>
    <row r="42">
      <c r="A42" s="7" t="inlineStr">
        <is>
          <t xml:space="preserve">    Leaf Tobacco &amp; Spices Exports</t>
        </is>
      </c>
      <c r="B42" s="8" t="n">
        <v>6800</v>
      </c>
      <c r="C42" s="8" t="n">
        <v>10280</v>
      </c>
      <c r="D42" s="8" t="n">
        <v>12640</v>
      </c>
      <c r="E42" s="8" t="n">
        <v>12460</v>
      </c>
      <c r="F42" s="8" t="n">
        <v>13310</v>
      </c>
      <c r="G42" s="8" t="n">
        <v>14540</v>
      </c>
      <c r="H42" s="8" t="n">
        <v>15980</v>
      </c>
      <c r="I42" s="8" t="n">
        <v>17580</v>
      </c>
      <c r="J42" s="8" t="n">
        <v>19340</v>
      </c>
      <c r="K42" s="8" t="n">
        <v>21280</v>
      </c>
    </row>
    <row r="43">
      <c r="A43" s="7" t="inlineStr">
        <is>
          <t xml:space="preserve">    Agri Commodities (Wheat/Coffee/Pulses)</t>
        </is>
      </c>
      <c r="B43" s="8" t="n">
        <v>1900</v>
      </c>
      <c r="C43" s="8" t="n">
        <v>2800</v>
      </c>
      <c r="D43" s="8" t="n">
        <v>3600</v>
      </c>
      <c r="E43" s="8" t="n">
        <v>3580</v>
      </c>
      <c r="F43" s="8" t="n">
        <v>3930</v>
      </c>
      <c r="G43" s="8" t="n">
        <v>4360</v>
      </c>
      <c r="H43" s="8" t="n">
        <v>4820</v>
      </c>
      <c r="I43" s="8" t="n">
        <v>5330</v>
      </c>
      <c r="J43" s="8" t="n">
        <v>5890</v>
      </c>
      <c r="K43" s="8" t="n">
        <v>6520</v>
      </c>
    </row>
    <row r="44">
      <c r="A44" s="7" t="inlineStr">
        <is>
          <t xml:space="preserve">    ITC Infotech International</t>
        </is>
      </c>
      <c r="B44" s="8" t="n">
        <v>1200</v>
      </c>
      <c r="C44" s="8" t="n">
        <v>1350</v>
      </c>
      <c r="D44" s="8" t="n">
        <v>1520</v>
      </c>
      <c r="E44" s="8" t="n">
        <v>1710</v>
      </c>
      <c r="F44" s="8" t="n">
        <v>1890</v>
      </c>
      <c r="G44" s="8" t="n">
        <v>2120</v>
      </c>
      <c r="H44" s="8" t="n">
        <v>2380</v>
      </c>
      <c r="I44" s="8" t="n">
        <v>2670</v>
      </c>
      <c r="J44" s="8" t="n">
        <v>2990</v>
      </c>
      <c r="K44" s="8" t="n">
        <v>3350</v>
      </c>
    </row>
    <row r="45">
      <c r="A45" s="7" t="inlineStr">
        <is>
          <t xml:space="preserve">    Other Exports</t>
        </is>
      </c>
      <c r="B45" s="8" t="n">
        <v>548</v>
      </c>
      <c r="C45" s="8" t="n">
        <v>608</v>
      </c>
      <c r="D45" s="8" t="n">
        <v>620</v>
      </c>
      <c r="E45" s="8" t="n">
        <v>870</v>
      </c>
      <c r="F45" s="8" t="n">
        <v>531</v>
      </c>
      <c r="G45" s="8" t="n">
        <v>590</v>
      </c>
      <c r="H45" s="8" t="n">
        <v>660</v>
      </c>
      <c r="I45" s="8" t="n">
        <v>740</v>
      </c>
      <c r="J45" s="8" t="n">
        <v>830</v>
      </c>
      <c r="K45" s="8" t="n">
        <v>930</v>
      </c>
    </row>
    <row r="46">
      <c r="A46" s="11" t="inlineStr">
        <is>
          <t xml:space="preserve">  Exports &amp; International Total</t>
        </is>
      </c>
      <c r="B46" s="12" t="n">
        <v>10448</v>
      </c>
      <c r="C46" s="12" t="n">
        <v>15038</v>
      </c>
      <c r="D46" s="12" t="n">
        <v>18380</v>
      </c>
      <c r="E46" s="12" t="n">
        <v>18620</v>
      </c>
      <c r="F46" s="12" t="n">
        <v>19661</v>
      </c>
      <c r="G46" s="12" t="n">
        <v>21610</v>
      </c>
      <c r="H46" s="12" t="n">
        <v>23840</v>
      </c>
      <c r="I46" s="12" t="n">
        <v>26320</v>
      </c>
      <c r="J46" s="12" t="n">
        <v>29050</v>
      </c>
      <c r="K46" s="12" t="n">
        <v>32080</v>
      </c>
    </row>
    <row r="47">
      <c r="A47" s="1" t="inlineStr">
        <is>
          <t xml:space="preserve">  TOTAL &amp; MIX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/>
    </row>
    <row r="48">
      <c r="A48" s="15" t="inlineStr">
        <is>
          <t>TOTAL NET REVENUE</t>
        </is>
      </c>
      <c r="B48" s="16" t="n">
        <v>27448</v>
      </c>
      <c r="C48" s="16" t="n">
        <v>34588</v>
      </c>
      <c r="D48" s="16" t="n">
        <v>39460</v>
      </c>
      <c r="E48" s="16" t="n">
        <v>41870</v>
      </c>
      <c r="F48" s="16" t="n">
        <v>43011</v>
      </c>
      <c r="G48" s="16" t="n">
        <v>47310</v>
      </c>
      <c r="H48" s="16" t="n">
        <v>52140</v>
      </c>
      <c r="I48" s="16" t="n">
        <v>57360</v>
      </c>
      <c r="J48" s="16" t="n">
        <v>62100</v>
      </c>
      <c r="K48" s="16" t="n">
        <v>67200</v>
      </c>
    </row>
    <row r="49">
      <c r="A49" s="13" t="inlineStr">
        <is>
          <t>% Domestic</t>
        </is>
      </c>
      <c r="B49" s="14" t="n">
        <v>1.023</v>
      </c>
      <c r="C49" s="14" t="n">
        <v>0.982</v>
      </c>
      <c r="D49" s="14" t="n">
        <v>0.9940000000000001</v>
      </c>
      <c r="E49" s="14" t="n">
        <v>1.005</v>
      </c>
      <c r="F49" s="14" t="n">
        <v>0.98</v>
      </c>
      <c r="G49" s="14" t="n">
        <v>0.9740000000000001</v>
      </c>
      <c r="H49" s="14" t="n">
        <v>0.988</v>
      </c>
      <c r="I49" s="14" t="n">
        <v>0.998</v>
      </c>
      <c r="J49" s="14" t="n">
        <v>1.021</v>
      </c>
      <c r="K49" s="14" t="n">
        <v>1.045</v>
      </c>
    </row>
    <row r="50">
      <c r="A50" s="13" t="inlineStr">
        <is>
          <t>% International / Exports</t>
        </is>
      </c>
      <c r="B50" s="14" t="n">
        <v>0.381</v>
      </c>
      <c r="C50" s="14" t="n">
        <v>0.435</v>
      </c>
      <c r="D50" s="14" t="n">
        <v>0.466</v>
      </c>
      <c r="E50" s="14" t="n">
        <v>0.445</v>
      </c>
      <c r="F50" s="14" t="n">
        <v>0.457</v>
      </c>
      <c r="G50" s="14" t="n">
        <v>0.457</v>
      </c>
      <c r="H50" s="14" t="n">
        <v>0.457</v>
      </c>
      <c r="I50" s="14" t="n">
        <v>0.459</v>
      </c>
      <c r="J50" s="14" t="n">
        <v>0.468</v>
      </c>
      <c r="K50" s="14" t="n">
        <v>0.477</v>
      </c>
    </row>
  </sheetData>
  <mergeCells count="13">
    <mergeCell ref="A25:L25"/>
    <mergeCell ref="A41:L41"/>
    <mergeCell ref="A19:L19"/>
    <mergeCell ref="A33:L33"/>
    <mergeCell ref="A47:L47"/>
    <mergeCell ref="A1:L1"/>
    <mergeCell ref="A28:L28"/>
    <mergeCell ref="A14:L14"/>
    <mergeCell ref="A22:L22"/>
    <mergeCell ref="A9:L9"/>
    <mergeCell ref="A3:L3"/>
    <mergeCell ref="A35:L35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ITC LIMITED — INCOME STATEMENT  (₹ Crore)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Line Item</t>
        </is>
      </c>
      <c r="B2" s="4" t="inlineStr">
        <is>
          <t>FY21A</t>
        </is>
      </c>
      <c r="C2" s="4" t="inlineStr">
        <is>
          <t>FY22A</t>
        </is>
      </c>
      <c r="D2" s="4" t="inlineStr">
        <is>
          <t>FY23A</t>
        </is>
      </c>
      <c r="E2" s="4" t="inlineStr">
        <is>
          <t>FY24A</t>
        </is>
      </c>
      <c r="F2" s="4" t="inlineStr">
        <is>
          <t>FY25A</t>
        </is>
      </c>
      <c r="G2" s="4" t="inlineStr">
        <is>
          <t>FY26E</t>
        </is>
      </c>
      <c r="H2" s="4" t="inlineStr">
        <is>
          <t>FY27E</t>
        </is>
      </c>
      <c r="I2" s="4" t="inlineStr">
        <is>
          <t>FY28E</t>
        </is>
      </c>
      <c r="J2" s="4" t="inlineStr">
        <is>
          <t>FY29E</t>
        </is>
      </c>
      <c r="K2" s="4" t="inlineStr">
        <is>
          <t>FY30E</t>
        </is>
      </c>
    </row>
    <row r="3">
      <c r="A3" s="5" t="inlineStr">
        <is>
          <t>REVENUE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7" t="inlineStr">
        <is>
          <t>Gross Revenue from Operations (incl. excise)</t>
        </is>
      </c>
      <c r="B4" s="8" t="n">
        <v>47902</v>
      </c>
      <c r="C4" s="8" t="n">
        <v>59214</v>
      </c>
      <c r="D4" s="8" t="n">
        <v>69446</v>
      </c>
      <c r="E4" s="8" t="n">
        <v>71985</v>
      </c>
      <c r="F4" s="8" t="n">
        <v>73465</v>
      </c>
      <c r="G4" s="8" t="n">
        <v>77640</v>
      </c>
      <c r="H4" s="8" t="n">
        <v>83580</v>
      </c>
      <c r="I4" s="8" t="n">
        <v>90020</v>
      </c>
      <c r="J4" s="8" t="n">
        <v>97100</v>
      </c>
      <c r="K4" s="8" t="n">
        <v>105000</v>
      </c>
    </row>
    <row r="5">
      <c r="A5" s="9" t="inlineStr">
        <is>
          <t>Less: Excise Duty on Cigarettes</t>
        </is>
      </c>
      <c r="B5" s="10" t="n">
        <v>-20454</v>
      </c>
      <c r="C5" s="10" t="n">
        <v>-24626</v>
      </c>
      <c r="D5" s="10" t="n">
        <v>-29986</v>
      </c>
      <c r="E5" s="10" t="n">
        <v>-30115</v>
      </c>
      <c r="F5" s="10" t="n">
        <v>-30454</v>
      </c>
      <c r="G5" s="10" t="n">
        <v>-30330</v>
      </c>
      <c r="H5" s="10" t="n">
        <v>-31440</v>
      </c>
      <c r="I5" s="10" t="n">
        <v>-32660</v>
      </c>
      <c r="J5" s="10" t="n">
        <v>-34000</v>
      </c>
      <c r="K5" s="10" t="n">
        <v>-37800</v>
      </c>
    </row>
    <row r="6">
      <c r="A6" s="11" t="inlineStr">
        <is>
          <t>Net Revenue from Operations</t>
        </is>
      </c>
      <c r="B6" s="12" t="n">
        <v>27448</v>
      </c>
      <c r="C6" s="12" t="n">
        <v>34588</v>
      </c>
      <c r="D6" s="12" t="n">
        <v>39460</v>
      </c>
      <c r="E6" s="12" t="n">
        <v>41870</v>
      </c>
      <c r="F6" s="12" t="n">
        <v>43011</v>
      </c>
      <c r="G6" s="12" t="n">
        <v>47310</v>
      </c>
      <c r="H6" s="12" t="n">
        <v>52140</v>
      </c>
      <c r="I6" s="12" t="n">
        <v>57360</v>
      </c>
      <c r="J6" s="12" t="n">
        <v>62100</v>
      </c>
      <c r="K6" s="12" t="n">
        <v>67200</v>
      </c>
    </row>
    <row r="7">
      <c r="A7" s="13" t="inlineStr">
        <is>
          <t xml:space="preserve">  Other Operating Income</t>
        </is>
      </c>
      <c r="B7" s="19" t="n">
        <v>325</v>
      </c>
      <c r="C7" s="19" t="n">
        <v>430</v>
      </c>
      <c r="D7" s="19" t="n">
        <v>490</v>
      </c>
      <c r="E7" s="19" t="n">
        <v>510</v>
      </c>
      <c r="F7" s="19" t="n">
        <v>545</v>
      </c>
      <c r="G7" s="19" t="n">
        <v>600</v>
      </c>
      <c r="H7" s="19" t="n">
        <v>660</v>
      </c>
      <c r="I7" s="19" t="n">
        <v>720</v>
      </c>
      <c r="J7" s="19" t="n">
        <v>790</v>
      </c>
      <c r="K7" s="19" t="n">
        <v>860</v>
      </c>
    </row>
    <row r="8">
      <c r="A8" s="15" t="inlineStr">
        <is>
          <t>TOTAL REVENUE FROM OPERATIONS</t>
        </is>
      </c>
      <c r="B8" s="16" t="n">
        <v>27773</v>
      </c>
      <c r="C8" s="16" t="n">
        <v>35018</v>
      </c>
      <c r="D8" s="16" t="n">
        <v>39950</v>
      </c>
      <c r="E8" s="16" t="n">
        <v>42380</v>
      </c>
      <c r="F8" s="16" t="n">
        <v>43556</v>
      </c>
      <c r="G8" s="16" t="n">
        <v>47910</v>
      </c>
      <c r="H8" s="16" t="n">
        <v>52800</v>
      </c>
      <c r="I8" s="16" t="n">
        <v>58080</v>
      </c>
      <c r="J8" s="16" t="n">
        <v>62890</v>
      </c>
      <c r="K8" s="16" t="n">
        <v>68060</v>
      </c>
    </row>
    <row r="9">
      <c r="A9" s="13" t="inlineStr">
        <is>
          <t xml:space="preserve">  YoY Growth (Net Revenue)</t>
        </is>
      </c>
      <c r="B9" s="14" t="n"/>
      <c r="C9" s="14" t="n">
        <v>0.2601</v>
      </c>
      <c r="D9" s="14" t="n">
        <v>0.1409</v>
      </c>
      <c r="E9" s="14" t="n">
        <v>0.0611</v>
      </c>
      <c r="F9" s="14" t="n">
        <v>0.0273</v>
      </c>
      <c r="G9" s="14" t="n">
        <v>0.1</v>
      </c>
      <c r="H9" s="14" t="n">
        <v>0.1021</v>
      </c>
      <c r="I9" s="14" t="n">
        <v>0.1001</v>
      </c>
      <c r="J9" s="14" t="n">
        <v>0.08260000000000001</v>
      </c>
      <c r="K9" s="14" t="n">
        <v>0.08210000000000001</v>
      </c>
    </row>
    <row r="11">
      <c r="A11" s="5" t="inlineStr">
        <is>
          <t>COST OF GOODS SOLD &amp; MANUFACTURING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3" t="n"/>
    </row>
    <row r="12">
      <c r="A12" s="9" t="inlineStr">
        <is>
          <t xml:space="preserve">    Cost of Materials Consumed</t>
        </is>
      </c>
      <c r="B12" s="19" t="n">
        <v>7820</v>
      </c>
      <c r="C12" s="19" t="n">
        <v>10240</v>
      </c>
      <c r="D12" s="19" t="n">
        <v>12180</v>
      </c>
      <c r="E12" s="19" t="n">
        <v>12680</v>
      </c>
      <c r="F12" s="19" t="n">
        <v>12950</v>
      </c>
      <c r="G12" s="19" t="n">
        <v>14020</v>
      </c>
      <c r="H12" s="19" t="n">
        <v>15380</v>
      </c>
      <c r="I12" s="19" t="n">
        <v>16870</v>
      </c>
      <c r="J12" s="19" t="n">
        <v>18200</v>
      </c>
      <c r="K12" s="19" t="n">
        <v>19700</v>
      </c>
    </row>
    <row r="13">
      <c r="A13" s="9" t="inlineStr">
        <is>
          <t xml:space="preserve">    Purchases of Stock-in-Trade</t>
        </is>
      </c>
      <c r="B13" s="19" t="n">
        <v>4110</v>
      </c>
      <c r="C13" s="19" t="n">
        <v>5890</v>
      </c>
      <c r="D13" s="19" t="n">
        <v>6540</v>
      </c>
      <c r="E13" s="19" t="n">
        <v>6920</v>
      </c>
      <c r="F13" s="19" t="n">
        <v>7100</v>
      </c>
      <c r="G13" s="19" t="n">
        <v>7840</v>
      </c>
      <c r="H13" s="19" t="n">
        <v>8620</v>
      </c>
      <c r="I13" s="19" t="n">
        <v>9480</v>
      </c>
      <c r="J13" s="19" t="n">
        <v>10230</v>
      </c>
      <c r="K13" s="19" t="n">
        <v>11060</v>
      </c>
    </row>
    <row r="14">
      <c r="A14" s="9" t="inlineStr">
        <is>
          <t xml:space="preserve">    Changes in Inventories (WIP/FG)</t>
        </is>
      </c>
      <c r="B14" s="10" t="n">
        <v>-120</v>
      </c>
      <c r="C14" s="10" t="n">
        <v>-310</v>
      </c>
      <c r="D14" s="19" t="n">
        <v>180</v>
      </c>
      <c r="E14" s="10" t="n">
        <v>-90</v>
      </c>
      <c r="F14" s="19" t="n">
        <v>120</v>
      </c>
      <c r="G14" s="19" t="n">
        <v>0</v>
      </c>
      <c r="H14" s="19" t="n">
        <v>0</v>
      </c>
      <c r="I14" s="19" t="n">
        <v>0</v>
      </c>
      <c r="J14" s="19" t="n">
        <v>0</v>
      </c>
      <c r="K14" s="19" t="n">
        <v>0</v>
      </c>
    </row>
    <row r="15">
      <c r="A15" s="9" t="inlineStr">
        <is>
          <t xml:space="preserve">    Manufacturing &amp; Other Expenses</t>
        </is>
      </c>
      <c r="B15" s="19" t="n">
        <v>2150</v>
      </c>
      <c r="C15" s="19" t="n">
        <v>2620</v>
      </c>
      <c r="D15" s="19" t="n">
        <v>3010</v>
      </c>
      <c r="E15" s="19" t="n">
        <v>3140</v>
      </c>
      <c r="F15" s="19" t="n">
        <v>3290</v>
      </c>
      <c r="G15" s="19" t="n">
        <v>3610</v>
      </c>
      <c r="H15" s="19" t="n">
        <v>3980</v>
      </c>
      <c r="I15" s="19" t="n">
        <v>4380</v>
      </c>
      <c r="J15" s="19" t="n">
        <v>4730</v>
      </c>
      <c r="K15" s="19" t="n">
        <v>5110</v>
      </c>
    </row>
    <row r="16">
      <c r="A16" s="11" t="inlineStr">
        <is>
          <t>TOTAL COGS</t>
        </is>
      </c>
      <c r="B16" s="12" t="n">
        <v>13960</v>
      </c>
      <c r="C16" s="12" t="n">
        <v>18440</v>
      </c>
      <c r="D16" s="12" t="n">
        <v>21910</v>
      </c>
      <c r="E16" s="12" t="n">
        <v>22650</v>
      </c>
      <c r="F16" s="12" t="n">
        <v>23460</v>
      </c>
      <c r="G16" s="12" t="n">
        <v>25470</v>
      </c>
      <c r="H16" s="12" t="n">
        <v>27980</v>
      </c>
      <c r="I16" s="12" t="n">
        <v>30730</v>
      </c>
      <c r="J16" s="12" t="n">
        <v>33160</v>
      </c>
      <c r="K16" s="12" t="n">
        <v>35870</v>
      </c>
    </row>
    <row r="18">
      <c r="A18" s="5" t="inlineStr">
        <is>
          <t>EMPLOYEE COSTS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3" t="n"/>
    </row>
    <row r="19">
      <c r="A19" s="9" t="inlineStr">
        <is>
          <t xml:space="preserve">    Salaries &amp; Wages</t>
        </is>
      </c>
      <c r="B19" s="19" t="n">
        <v>3210</v>
      </c>
      <c r="C19" s="19" t="n">
        <v>3680</v>
      </c>
      <c r="D19" s="19" t="n">
        <v>4120</v>
      </c>
      <c r="E19" s="19" t="n">
        <v>4480</v>
      </c>
      <c r="F19" s="19" t="n">
        <v>4870</v>
      </c>
      <c r="G19" s="19" t="n">
        <v>5310</v>
      </c>
      <c r="H19" s="19" t="n">
        <v>5790</v>
      </c>
      <c r="I19" s="19" t="n">
        <v>6310</v>
      </c>
      <c r="J19" s="19" t="n">
        <v>6870</v>
      </c>
      <c r="K19" s="19" t="n">
        <v>7490</v>
      </c>
    </row>
    <row r="20">
      <c r="A20" s="9" t="inlineStr">
        <is>
          <t xml:space="preserve">    PF, Gratuity &amp; Other Benefits</t>
        </is>
      </c>
      <c r="B20" s="19" t="n">
        <v>380</v>
      </c>
      <c r="C20" s="19" t="n">
        <v>430</v>
      </c>
      <c r="D20" s="19" t="n">
        <v>480</v>
      </c>
      <c r="E20" s="19" t="n">
        <v>520</v>
      </c>
      <c r="F20" s="19" t="n">
        <v>560</v>
      </c>
      <c r="G20" s="19" t="n">
        <v>610</v>
      </c>
      <c r="H20" s="19" t="n">
        <v>665</v>
      </c>
      <c r="I20" s="19" t="n">
        <v>725</v>
      </c>
      <c r="J20" s="19" t="n">
        <v>790</v>
      </c>
      <c r="K20" s="19" t="n">
        <v>860</v>
      </c>
    </row>
    <row r="21">
      <c r="A21" s="11" t="inlineStr">
        <is>
          <t>TOTAL EMPLOYEE COSTS</t>
        </is>
      </c>
      <c r="B21" s="12" t="n">
        <v>3590</v>
      </c>
      <c r="C21" s="12" t="n">
        <v>4110</v>
      </c>
      <c r="D21" s="12" t="n">
        <v>4600</v>
      </c>
      <c r="E21" s="12" t="n">
        <v>5000</v>
      </c>
      <c r="F21" s="12" t="n">
        <v>5430</v>
      </c>
      <c r="G21" s="12" t="n">
        <v>5920</v>
      </c>
      <c r="H21" s="12" t="n">
        <v>6455</v>
      </c>
      <c r="I21" s="12" t="n">
        <v>7035</v>
      </c>
      <c r="J21" s="12" t="n">
        <v>7660</v>
      </c>
      <c r="K21" s="12" t="n">
        <v>8350</v>
      </c>
    </row>
    <row r="23">
      <c r="A23" s="5" t="inlineStr">
        <is>
          <t>OTHER OPERATING EXPENSES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3" t="n"/>
    </row>
    <row r="24">
      <c r="A24" s="9" t="inlineStr">
        <is>
          <t xml:space="preserve">    Selling &amp; Distribution Expenses</t>
        </is>
      </c>
      <c r="B24" s="19" t="n">
        <v>1620</v>
      </c>
      <c r="C24" s="19" t="n">
        <v>1980</v>
      </c>
      <c r="D24" s="19" t="n">
        <v>2280</v>
      </c>
      <c r="E24" s="19" t="n">
        <v>2510</v>
      </c>
      <c r="F24" s="19" t="n">
        <v>2730</v>
      </c>
      <c r="G24" s="19" t="n">
        <v>3020</v>
      </c>
      <c r="H24" s="19" t="n">
        <v>3330</v>
      </c>
      <c r="I24" s="19" t="n">
        <v>3660</v>
      </c>
      <c r="J24" s="19" t="n">
        <v>3960</v>
      </c>
      <c r="K24" s="19" t="n">
        <v>4280</v>
      </c>
    </row>
    <row r="25">
      <c r="A25" s="9" t="inlineStr">
        <is>
          <t xml:space="preserve">    Advertisement &amp; Publicity</t>
        </is>
      </c>
      <c r="B25" s="19" t="n">
        <v>890</v>
      </c>
      <c r="C25" s="19" t="n">
        <v>1060</v>
      </c>
      <c r="D25" s="19" t="n">
        <v>1190</v>
      </c>
      <c r="E25" s="19" t="n">
        <v>1310</v>
      </c>
      <c r="F25" s="19" t="n">
        <v>1450</v>
      </c>
      <c r="G25" s="19" t="n">
        <v>1600</v>
      </c>
      <c r="H25" s="19" t="n">
        <v>1760</v>
      </c>
      <c r="I25" s="19" t="n">
        <v>1940</v>
      </c>
      <c r="J25" s="19" t="n">
        <v>2100</v>
      </c>
      <c r="K25" s="19" t="n">
        <v>2270</v>
      </c>
    </row>
    <row r="26">
      <c r="A26" s="9" t="inlineStr">
        <is>
          <t xml:space="preserve">    Other Operating Expenses</t>
        </is>
      </c>
      <c r="B26" s="19" t="n">
        <v>1170</v>
      </c>
      <c r="C26" s="19" t="n">
        <v>1440</v>
      </c>
      <c r="D26" s="19" t="n">
        <v>1640</v>
      </c>
      <c r="E26" s="19" t="n">
        <v>1810</v>
      </c>
      <c r="F26" s="19" t="n">
        <v>1990</v>
      </c>
      <c r="G26" s="19" t="n">
        <v>2190</v>
      </c>
      <c r="H26" s="19" t="n">
        <v>2410</v>
      </c>
      <c r="I26" s="19" t="n">
        <v>2650</v>
      </c>
      <c r="J26" s="19" t="n">
        <v>2870</v>
      </c>
      <c r="K26" s="19" t="n">
        <v>3100</v>
      </c>
    </row>
    <row r="27">
      <c r="A27" s="11" t="inlineStr">
        <is>
          <t>TOTAL OTHER OPEX</t>
        </is>
      </c>
      <c r="B27" s="12" t="n">
        <v>3680</v>
      </c>
      <c r="C27" s="12" t="n">
        <v>4480</v>
      </c>
      <c r="D27" s="12" t="n">
        <v>5110</v>
      </c>
      <c r="E27" s="12" t="n">
        <v>5630</v>
      </c>
      <c r="F27" s="12" t="n">
        <v>6170</v>
      </c>
      <c r="G27" s="12" t="n">
        <v>6810</v>
      </c>
      <c r="H27" s="12" t="n">
        <v>7500</v>
      </c>
      <c r="I27" s="12" t="n">
        <v>8250</v>
      </c>
      <c r="J27" s="12" t="n">
        <v>8930</v>
      </c>
      <c r="K27" s="12" t="n">
        <v>9650</v>
      </c>
    </row>
    <row r="29">
      <c r="A29" s="5" t="inlineStr">
        <is>
          <t>PROFITABILITY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</row>
    <row r="30">
      <c r="A30" s="15" t="inlineStr">
        <is>
          <t>EBITDA</t>
        </is>
      </c>
      <c r="B30" s="16" t="n">
        <v>14356</v>
      </c>
      <c r="C30" s="16" t="n">
        <v>17458</v>
      </c>
      <c r="D30" s="16" t="n">
        <v>20141</v>
      </c>
      <c r="E30" s="16" t="n">
        <v>21857</v>
      </c>
      <c r="F30" s="16" t="n">
        <v>24025</v>
      </c>
      <c r="G30" s="16" t="n">
        <v>26670</v>
      </c>
      <c r="H30" s="16" t="n">
        <v>29420</v>
      </c>
      <c r="I30" s="16" t="n">
        <v>32500</v>
      </c>
      <c r="J30" s="16" t="n">
        <v>35940</v>
      </c>
      <c r="K30" s="16" t="n">
        <v>39750</v>
      </c>
    </row>
    <row r="31">
      <c r="A31" s="13" t="inlineStr">
        <is>
          <t xml:space="preserve">    EBITDA Margin % (on net revenue)</t>
        </is>
      </c>
      <c r="B31" s="14" t="n">
        <v>0.523</v>
      </c>
      <c r="C31" s="14" t="n">
        <v>0.5047</v>
      </c>
      <c r="D31" s="14" t="n">
        <v>0.5104</v>
      </c>
      <c r="E31" s="14" t="n">
        <v>0.522</v>
      </c>
      <c r="F31" s="14" t="n">
        <v>0.5586</v>
      </c>
      <c r="G31" s="14" t="n">
        <v>0.5637</v>
      </c>
      <c r="H31" s="14" t="n">
        <v>0.5643</v>
      </c>
      <c r="I31" s="14" t="n">
        <v>0.5666</v>
      </c>
      <c r="J31" s="14" t="n">
        <v>0.5787</v>
      </c>
      <c r="K31" s="14" t="n">
        <v>0.5915</v>
      </c>
    </row>
    <row r="32">
      <c r="A32" s="9" t="inlineStr">
        <is>
          <t xml:space="preserve">    Less: Depreciation &amp; Amortization</t>
        </is>
      </c>
      <c r="B32" s="10" t="n">
        <v>-1535</v>
      </c>
      <c r="C32" s="10" t="n">
        <v>-1726</v>
      </c>
      <c r="D32" s="10" t="n">
        <v>-1907</v>
      </c>
      <c r="E32" s="10" t="n">
        <v>-2077</v>
      </c>
      <c r="F32" s="10" t="n">
        <v>-2043</v>
      </c>
      <c r="G32" s="10" t="n">
        <v>-2020</v>
      </c>
      <c r="H32" s="10" t="n">
        <v>-2220</v>
      </c>
      <c r="I32" s="10" t="n">
        <v>-2300</v>
      </c>
      <c r="J32" s="10" t="n">
        <v>-2440</v>
      </c>
      <c r="K32" s="10" t="n">
        <v>-2590</v>
      </c>
    </row>
    <row r="33">
      <c r="A33" s="11" t="inlineStr">
        <is>
          <t>EBIT (Operating Profit)</t>
        </is>
      </c>
      <c r="B33" s="12" t="n">
        <v>12821</v>
      </c>
      <c r="C33" s="12" t="n">
        <v>15732</v>
      </c>
      <c r="D33" s="12" t="n">
        <v>18234</v>
      </c>
      <c r="E33" s="12" t="n">
        <v>19780</v>
      </c>
      <c r="F33" s="12" t="n">
        <v>21982</v>
      </c>
      <c r="G33" s="12" t="n">
        <v>24650</v>
      </c>
      <c r="H33" s="12" t="n">
        <v>27200</v>
      </c>
      <c r="I33" s="12" t="n">
        <v>30200</v>
      </c>
      <c r="J33" s="12" t="n">
        <v>33500</v>
      </c>
      <c r="K33" s="12" t="n">
        <v>37160</v>
      </c>
    </row>
    <row r="34">
      <c r="A34" s="13" t="inlineStr">
        <is>
          <t xml:space="preserve">    EBIT Margin % (on net revenue)</t>
        </is>
      </c>
      <c r="B34" s="14" t="n">
        <v>0.4671</v>
      </c>
      <c r="C34" s="14" t="n">
        <v>0.4548</v>
      </c>
      <c r="D34" s="14" t="n">
        <v>0.4621</v>
      </c>
      <c r="E34" s="14" t="n">
        <v>0.4724</v>
      </c>
      <c r="F34" s="14" t="n">
        <v>0.5111</v>
      </c>
      <c r="G34" s="14" t="n">
        <v>0.521</v>
      </c>
      <c r="H34" s="14" t="n">
        <v>0.5217000000000001</v>
      </c>
      <c r="I34" s="14" t="n">
        <v>0.5265</v>
      </c>
      <c r="J34" s="14" t="n">
        <v>0.5395</v>
      </c>
      <c r="K34" s="14" t="n">
        <v>0.553</v>
      </c>
    </row>
    <row r="36">
      <c r="A36" s="5" t="inlineStr">
        <is>
          <t>SEGMENT EBIT BREAKDOWN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/>
    </row>
    <row r="37">
      <c r="A37" s="7" t="inlineStr">
        <is>
          <t xml:space="preserve">    Cigarettes EBIT</t>
        </is>
      </c>
      <c r="B37" s="8" t="n">
        <v>11145</v>
      </c>
      <c r="C37" s="8" t="n">
        <v>13560</v>
      </c>
      <c r="D37" s="8" t="n">
        <v>16180</v>
      </c>
      <c r="E37" s="8" t="n">
        <v>18023</v>
      </c>
      <c r="F37" s="8" t="n">
        <v>21091</v>
      </c>
      <c r="G37" s="8" t="n">
        <v>22800</v>
      </c>
      <c r="H37" s="8" t="n">
        <v>24700</v>
      </c>
      <c r="I37" s="8" t="n">
        <v>26800</v>
      </c>
      <c r="J37" s="8" t="n">
        <v>29100</v>
      </c>
      <c r="K37" s="8" t="n">
        <v>31700</v>
      </c>
    </row>
    <row r="38">
      <c r="A38" s="13" t="inlineStr">
        <is>
          <t xml:space="preserve">        Cigarettes EBIT Margin</t>
        </is>
      </c>
      <c r="B38" s="14" t="n">
        <v>0.8411</v>
      </c>
      <c r="C38" s="14" t="n">
        <v>0.8681</v>
      </c>
      <c r="D38" s="14" t="n">
        <v>0.9363</v>
      </c>
      <c r="E38" s="14" t="n">
        <v>0.9579</v>
      </c>
      <c r="F38" s="14" t="n">
        <v>1.0631</v>
      </c>
      <c r="G38" s="14" t="n">
        <v>1.0842</v>
      </c>
      <c r="H38" s="14" t="n">
        <v>1.0983</v>
      </c>
      <c r="I38" s="14" t="n">
        <v>1.1139</v>
      </c>
      <c r="J38" s="14" t="n">
        <v>1.1305</v>
      </c>
      <c r="K38" s="14" t="n">
        <v>1.1511</v>
      </c>
    </row>
    <row r="39">
      <c r="A39" s="7" t="inlineStr">
        <is>
          <t xml:space="preserve">    FMCG-Others EBIT</t>
        </is>
      </c>
      <c r="B39" s="20" t="n">
        <v>-410</v>
      </c>
      <c r="C39" s="20" t="n">
        <v>-280</v>
      </c>
      <c r="D39" s="8" t="n">
        <v>120</v>
      </c>
      <c r="E39" s="8" t="n">
        <v>510</v>
      </c>
      <c r="F39" s="8" t="n">
        <v>1050</v>
      </c>
      <c r="G39" s="8" t="n">
        <v>1760</v>
      </c>
      <c r="H39" s="8" t="n">
        <v>2870</v>
      </c>
      <c r="I39" s="8" t="n">
        <v>4130</v>
      </c>
      <c r="J39" s="8" t="n">
        <v>5610</v>
      </c>
      <c r="K39" s="8" t="n">
        <v>7210</v>
      </c>
    </row>
    <row r="40">
      <c r="A40" s="7" t="inlineStr">
        <is>
          <t xml:space="preserve">    Agribusiness EBIT</t>
        </is>
      </c>
      <c r="B40" s="8" t="n">
        <v>520</v>
      </c>
      <c r="C40" s="8" t="n">
        <v>840</v>
      </c>
      <c r="D40" s="8" t="n">
        <v>840</v>
      </c>
      <c r="E40" s="8" t="n">
        <v>730</v>
      </c>
      <c r="F40" s="8" t="n">
        <v>850</v>
      </c>
      <c r="G40" s="8" t="n">
        <v>960</v>
      </c>
      <c r="H40" s="8" t="n">
        <v>1080</v>
      </c>
      <c r="I40" s="8" t="n">
        <v>1210</v>
      </c>
      <c r="J40" s="8" t="n">
        <v>1360</v>
      </c>
      <c r="K40" s="8" t="n">
        <v>1520</v>
      </c>
    </row>
    <row r="41">
      <c r="A41" s="7" t="inlineStr">
        <is>
          <t xml:space="preserve">    Paperboards &amp; Paper EBIT</t>
        </is>
      </c>
      <c r="B41" s="8" t="n">
        <v>740</v>
      </c>
      <c r="C41" s="8" t="n">
        <v>1060</v>
      </c>
      <c r="D41" s="8" t="n">
        <v>1480</v>
      </c>
      <c r="E41" s="8" t="n">
        <v>1360</v>
      </c>
      <c r="F41" s="8" t="n">
        <v>890</v>
      </c>
      <c r="G41" s="8" t="n">
        <v>1050</v>
      </c>
      <c r="H41" s="8" t="n">
        <v>1230</v>
      </c>
      <c r="I41" s="8" t="n">
        <v>1420</v>
      </c>
      <c r="J41" s="8" t="n">
        <v>1640</v>
      </c>
      <c r="K41" s="8" t="n">
        <v>1890</v>
      </c>
    </row>
    <row r="42">
      <c r="A42" s="7" t="inlineStr">
        <is>
          <t xml:space="preserve">    Hotels EBIT (discontinued)</t>
        </is>
      </c>
      <c r="B42" s="8" t="n">
        <v>-80</v>
      </c>
      <c r="C42" s="8" t="n">
        <v>280</v>
      </c>
      <c r="D42" s="8" t="n">
        <v>790</v>
      </c>
      <c r="E42" s="8" t="n">
        <v>1020</v>
      </c>
      <c r="F42" s="8" t="n">
        <v>210</v>
      </c>
      <c r="G42" s="8" t="n"/>
      <c r="H42" s="8" t="n"/>
      <c r="I42" s="8" t="n"/>
      <c r="J42" s="8" t="n"/>
      <c r="K42" s="8" t="n"/>
    </row>
    <row r="43">
      <c r="A43" s="7" t="inlineStr">
        <is>
          <t xml:space="preserve">    ITC Infotech &amp; Others EBIT</t>
        </is>
      </c>
      <c r="B43" s="8" t="n">
        <v>230</v>
      </c>
      <c r="C43" s="8" t="n">
        <v>295</v>
      </c>
      <c r="D43" s="8" t="n">
        <v>340</v>
      </c>
      <c r="E43" s="8" t="n">
        <v>420</v>
      </c>
      <c r="F43" s="8" t="n">
        <v>490</v>
      </c>
      <c r="G43" s="8" t="n">
        <v>580</v>
      </c>
      <c r="H43" s="8" t="n">
        <v>660</v>
      </c>
      <c r="I43" s="8" t="n">
        <v>760</v>
      </c>
      <c r="J43" s="8" t="n">
        <v>870</v>
      </c>
      <c r="K43" s="8" t="n">
        <v>990</v>
      </c>
    </row>
    <row r="44">
      <c r="A44" s="9" t="inlineStr">
        <is>
          <t xml:space="preserve">    Unallocated Corporate Expenses</t>
        </is>
      </c>
      <c r="B44" s="10" t="n">
        <v>-1323</v>
      </c>
      <c r="C44" s="10" t="n">
        <v>-2023</v>
      </c>
      <c r="D44" s="10" t="n">
        <v>-1516</v>
      </c>
      <c r="E44" s="10" t="n">
        <v>-2303</v>
      </c>
      <c r="F44" s="10" t="n">
        <v>-2599</v>
      </c>
      <c r="G44" s="10" t="n">
        <v>-2500</v>
      </c>
      <c r="H44" s="10" t="n">
        <v>-2740</v>
      </c>
      <c r="I44" s="10" t="n">
        <v>-3020</v>
      </c>
      <c r="J44" s="10" t="n">
        <v>-3070</v>
      </c>
      <c r="K44" s="10" t="n">
        <v>-3150</v>
      </c>
    </row>
    <row r="45">
      <c r="A45" s="15" t="inlineStr">
        <is>
          <t>TOTAL SEGMENT EBIT (= Consolidated EBIT)</t>
        </is>
      </c>
      <c r="B45" s="16" t="n">
        <v>10822</v>
      </c>
      <c r="C45" s="16" t="n">
        <v>13732</v>
      </c>
      <c r="D45" s="16" t="n">
        <v>18234</v>
      </c>
      <c r="E45" s="16" t="n">
        <v>19760</v>
      </c>
      <c r="F45" s="16" t="n">
        <v>21982</v>
      </c>
      <c r="G45" s="16" t="n">
        <v>24650</v>
      </c>
      <c r="H45" s="16" t="n">
        <v>27200</v>
      </c>
      <c r="I45" s="16" t="n">
        <v>30200</v>
      </c>
      <c r="J45" s="16" t="n">
        <v>33500</v>
      </c>
      <c r="K45" s="16" t="n">
        <v>37160</v>
      </c>
    </row>
    <row r="47">
      <c r="A47" s="5" t="inlineStr">
        <is>
          <t>BELOW-OPERATING LINE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3" t="n"/>
    </row>
    <row r="48">
      <c r="A48" s="9" t="inlineStr">
        <is>
          <t xml:space="preserve">  Other Income (Interest, Dividends, Gains)</t>
        </is>
      </c>
      <c r="B48" s="19" t="n">
        <v>4203</v>
      </c>
      <c r="C48" s="19" t="n">
        <v>4580</v>
      </c>
      <c r="D48" s="19" t="n">
        <v>4861</v>
      </c>
      <c r="E48" s="19" t="n">
        <v>5659</v>
      </c>
      <c r="F48" s="19" t="n">
        <v>5560</v>
      </c>
      <c r="G48" s="19" t="n">
        <v>5800</v>
      </c>
      <c r="H48" s="19" t="n">
        <v>6100</v>
      </c>
      <c r="I48" s="19" t="n">
        <v>6440</v>
      </c>
      <c r="J48" s="19" t="n">
        <v>6820</v>
      </c>
      <c r="K48" s="19" t="n">
        <v>7240</v>
      </c>
    </row>
    <row r="49">
      <c r="A49" s="9" t="inlineStr">
        <is>
          <t xml:space="preserve">  Less: Finance Costs (Interest)</t>
        </is>
      </c>
      <c r="B49" s="10" t="n">
        <v>-78</v>
      </c>
      <c r="C49" s="10" t="n">
        <v>-62</v>
      </c>
      <c r="D49" s="10" t="n">
        <v>-48</v>
      </c>
      <c r="E49" s="10" t="n">
        <v>-42</v>
      </c>
      <c r="F49" s="10" t="n">
        <v>-38</v>
      </c>
      <c r="G49" s="10" t="n">
        <v>-40</v>
      </c>
      <c r="H49" s="10" t="n">
        <v>-38</v>
      </c>
      <c r="I49" s="10" t="n">
        <v>-36</v>
      </c>
      <c r="J49" s="10" t="n">
        <v>-34</v>
      </c>
      <c r="K49" s="10" t="n">
        <v>-32</v>
      </c>
    </row>
    <row r="50">
      <c r="A50" s="15" t="inlineStr">
        <is>
          <t>PROFIT BEFORE TAX (PBT)</t>
        </is>
      </c>
      <c r="B50" s="16" t="n">
        <v>17024</v>
      </c>
      <c r="C50" s="16" t="n">
        <v>20312</v>
      </c>
      <c r="D50" s="16" t="n">
        <v>23095</v>
      </c>
      <c r="E50" s="16" t="n">
        <v>25439</v>
      </c>
      <c r="F50" s="16" t="n">
        <v>27542</v>
      </c>
      <c r="G50" s="16" t="n">
        <v>30410</v>
      </c>
      <c r="H50" s="16" t="n">
        <v>33262</v>
      </c>
      <c r="I50" s="16" t="n">
        <v>36604</v>
      </c>
      <c r="J50" s="16" t="n">
        <v>40286</v>
      </c>
      <c r="K50" s="16" t="n">
        <v>44368</v>
      </c>
    </row>
    <row r="51">
      <c r="A51" s="13" t="inlineStr">
        <is>
          <t xml:space="preserve">    PBT Margin %</t>
        </is>
      </c>
      <c r="B51" s="14" t="n">
        <v>0.6202</v>
      </c>
      <c r="C51" s="14" t="n">
        <v>0.5873</v>
      </c>
      <c r="D51" s="14" t="n">
        <v>0.5853</v>
      </c>
      <c r="E51" s="14" t="n">
        <v>0.6076</v>
      </c>
      <c r="F51" s="14" t="n">
        <v>0.6403</v>
      </c>
      <c r="G51" s="14" t="n">
        <v>0.6428</v>
      </c>
      <c r="H51" s="14" t="n">
        <v>0.6379</v>
      </c>
      <c r="I51" s="14" t="n">
        <v>0.6381</v>
      </c>
      <c r="J51" s="14" t="n">
        <v>0.6487000000000001</v>
      </c>
      <c r="K51" s="14" t="n">
        <v>0.6602</v>
      </c>
    </row>
    <row r="52">
      <c r="A52" s="9" t="inlineStr">
        <is>
          <t xml:space="preserve">  Income Tax (Current + Deferred)</t>
        </is>
      </c>
      <c r="B52" s="10" t="n">
        <v>-3993</v>
      </c>
      <c r="C52" s="10" t="n">
        <v>-5064</v>
      </c>
      <c r="D52" s="10" t="n">
        <v>-4342</v>
      </c>
      <c r="E52" s="10" t="n">
        <v>-5545</v>
      </c>
      <c r="F52" s="10" t="n">
        <v>-6230</v>
      </c>
      <c r="G52" s="10" t="n">
        <v>-7300</v>
      </c>
      <c r="H52" s="10" t="n">
        <v>-7970</v>
      </c>
      <c r="I52" s="10" t="n">
        <v>-8800</v>
      </c>
      <c r="J52" s="10" t="n">
        <v>-9680</v>
      </c>
      <c r="K52" s="10" t="n">
        <v>-10650</v>
      </c>
    </row>
    <row r="53">
      <c r="A53" s="13" t="inlineStr">
        <is>
          <t xml:space="preserve">    Effective Tax Rate %</t>
        </is>
      </c>
      <c r="B53" s="14" t="n">
        <v>0.2346</v>
      </c>
      <c r="C53" s="14" t="n">
        <v>0.2493</v>
      </c>
      <c r="D53" s="14" t="n">
        <v>0.188</v>
      </c>
      <c r="E53" s="14" t="n">
        <v>0.218</v>
      </c>
      <c r="F53" s="14" t="n">
        <v>0.2262</v>
      </c>
      <c r="G53" s="14" t="n">
        <v>0.2401</v>
      </c>
      <c r="H53" s="14" t="n">
        <v>0.2396</v>
      </c>
      <c r="I53" s="14" t="n">
        <v>0.2404</v>
      </c>
      <c r="J53" s="14" t="n">
        <v>0.2403</v>
      </c>
      <c r="K53" s="14" t="n">
        <v>0.24</v>
      </c>
    </row>
    <row r="54">
      <c r="A54" s="11" t="inlineStr">
        <is>
          <t>PAT – Continuing Operations</t>
        </is>
      </c>
      <c r="B54" s="12" t="n">
        <v>13031</v>
      </c>
      <c r="C54" s="12" t="n">
        <v>15248</v>
      </c>
      <c r="D54" s="12" t="n">
        <v>18753</v>
      </c>
      <c r="E54" s="12" t="n">
        <v>19894</v>
      </c>
      <c r="F54" s="12" t="n">
        <v>21312</v>
      </c>
      <c r="G54" s="12" t="n">
        <v>23110</v>
      </c>
      <c r="H54" s="12" t="n">
        <v>25292</v>
      </c>
      <c r="I54" s="12" t="n">
        <v>27804</v>
      </c>
      <c r="J54" s="12" t="n">
        <v>30606</v>
      </c>
      <c r="K54" s="12" t="n">
        <v>33718</v>
      </c>
    </row>
    <row r="55">
      <c r="A55" s="13" t="inlineStr">
        <is>
          <t xml:space="preserve">  PAT – Discontinued (Hotels gain, FY25)</t>
        </is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v>1420</v>
      </c>
      <c r="G55" s="19" t="n">
        <v>0</v>
      </c>
      <c r="H55" s="19" t="n">
        <v>0</v>
      </c>
      <c r="I55" s="19" t="n">
        <v>0</v>
      </c>
      <c r="J55" s="19" t="n">
        <v>0</v>
      </c>
      <c r="K55" s="19" t="n">
        <v>0</v>
      </c>
    </row>
    <row r="56">
      <c r="A56" s="15" t="inlineStr">
        <is>
          <t>NET PROFIT (Total)</t>
        </is>
      </c>
      <c r="B56" s="16" t="n">
        <v>13031</v>
      </c>
      <c r="C56" s="16" t="n">
        <v>15248</v>
      </c>
      <c r="D56" s="16" t="n">
        <v>18753</v>
      </c>
      <c r="E56" s="16" t="n">
        <v>19894</v>
      </c>
      <c r="F56" s="16" t="n">
        <v>22732</v>
      </c>
      <c r="G56" s="16" t="n">
        <v>23110</v>
      </c>
      <c r="H56" s="16" t="n">
        <v>25292</v>
      </c>
      <c r="I56" s="16" t="n">
        <v>27804</v>
      </c>
      <c r="J56" s="16" t="n">
        <v>30606</v>
      </c>
      <c r="K56" s="16" t="n">
        <v>33718</v>
      </c>
    </row>
    <row r="57">
      <c r="A57" s="13" t="inlineStr">
        <is>
          <t xml:space="preserve">    Net Margin %</t>
        </is>
      </c>
      <c r="B57" s="14" t="n">
        <v>0.4748</v>
      </c>
      <c r="C57" s="14" t="n">
        <v>0.4408</v>
      </c>
      <c r="D57" s="14" t="n">
        <v>0.4752</v>
      </c>
      <c r="E57" s="14" t="n">
        <v>0.4751</v>
      </c>
      <c r="F57" s="14" t="n">
        <v>0.5285</v>
      </c>
      <c r="G57" s="14" t="n">
        <v>0.4885</v>
      </c>
      <c r="H57" s="14" t="n">
        <v>0.4851</v>
      </c>
      <c r="I57" s="14" t="n">
        <v>0.4847</v>
      </c>
      <c r="J57" s="14" t="n">
        <v>0.4929</v>
      </c>
      <c r="K57" s="14" t="n">
        <v>0.5018</v>
      </c>
    </row>
    <row r="58">
      <c r="A58" s="9" t="inlineStr">
        <is>
          <t xml:space="preserve">  Less: Minority Interest / NCI</t>
        </is>
      </c>
      <c r="B58" s="10" t="n">
        <v>-85</v>
      </c>
      <c r="C58" s="10" t="n">
        <v>-98</v>
      </c>
      <c r="D58" s="10" t="n">
        <v>-115</v>
      </c>
      <c r="E58" s="10" t="n">
        <v>-128</v>
      </c>
      <c r="F58" s="10" t="n">
        <v>-140</v>
      </c>
      <c r="G58" s="10" t="n">
        <v>-155</v>
      </c>
      <c r="H58" s="10" t="n">
        <v>-172</v>
      </c>
      <c r="I58" s="10" t="n">
        <v>-190</v>
      </c>
      <c r="J58" s="10" t="n">
        <v>-210</v>
      </c>
      <c r="K58" s="10" t="n">
        <v>-230</v>
      </c>
    </row>
    <row r="59">
      <c r="A59" s="11" t="inlineStr">
        <is>
          <t>PAT Attributable to Shareholders</t>
        </is>
      </c>
      <c r="B59" s="12" t="n">
        <v>12946</v>
      </c>
      <c r="C59" s="12" t="n">
        <v>15150</v>
      </c>
      <c r="D59" s="12" t="n">
        <v>18638</v>
      </c>
      <c r="E59" s="12" t="n">
        <v>19766</v>
      </c>
      <c r="F59" s="12" t="n">
        <v>22592</v>
      </c>
      <c r="G59" s="12" t="n">
        <v>22955</v>
      </c>
      <c r="H59" s="12" t="n">
        <v>25120</v>
      </c>
      <c r="I59" s="12" t="n">
        <v>27614</v>
      </c>
      <c r="J59" s="12" t="n">
        <v>30396</v>
      </c>
      <c r="K59" s="12" t="n">
        <v>33488</v>
      </c>
    </row>
    <row r="61">
      <c r="A61" s="5" t="inlineStr">
        <is>
          <t>PER SHARE DATA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3" t="n"/>
    </row>
    <row r="62">
      <c r="A62" s="9" t="inlineStr">
        <is>
          <t xml:space="preserve">    Shares Outstanding - Basic (Crore)</t>
        </is>
      </c>
      <c r="B62" s="19" t="n">
        <v>12544</v>
      </c>
      <c r="C62" s="19" t="n">
        <v>12545</v>
      </c>
      <c r="D62" s="19" t="n">
        <v>12555</v>
      </c>
      <c r="E62" s="19" t="n">
        <v>12565</v>
      </c>
      <c r="F62" s="19" t="n">
        <v>12570</v>
      </c>
      <c r="G62" s="19" t="n">
        <v>12570</v>
      </c>
      <c r="H62" s="19" t="n">
        <v>12570</v>
      </c>
      <c r="I62" s="19" t="n">
        <v>12570</v>
      </c>
      <c r="J62" s="19" t="n">
        <v>12570</v>
      </c>
      <c r="K62" s="19" t="n">
        <v>12570</v>
      </c>
    </row>
    <row r="63">
      <c r="A63" s="15" t="inlineStr">
        <is>
          <t>Basic EPS (₹)</t>
        </is>
      </c>
      <c r="B63" s="21" t="n">
        <v>1.03</v>
      </c>
      <c r="C63" s="21" t="n">
        <v>1.21</v>
      </c>
      <c r="D63" s="21" t="n">
        <v>1.48</v>
      </c>
      <c r="E63" s="21" t="n">
        <v>1.57</v>
      </c>
      <c r="F63" s="21" t="n">
        <v>1.8</v>
      </c>
      <c r="G63" s="21" t="n">
        <v>1.83</v>
      </c>
      <c r="H63" s="21" t="n">
        <v>2</v>
      </c>
      <c r="I63" s="21" t="n">
        <v>2.2</v>
      </c>
      <c r="J63" s="21" t="n">
        <v>2.42</v>
      </c>
      <c r="K63" s="21" t="n">
        <v>2.66</v>
      </c>
    </row>
    <row r="64">
      <c r="A64" s="22" t="inlineStr">
        <is>
          <t>Dividend Per Share (₹)</t>
        </is>
      </c>
      <c r="B64" s="23" t="n">
        <v>5.75</v>
      </c>
      <c r="C64" s="23" t="n">
        <v>6.25</v>
      </c>
      <c r="D64" s="23" t="n">
        <v>6.5</v>
      </c>
      <c r="E64" s="23" t="n">
        <v>7.5</v>
      </c>
      <c r="F64" s="23" t="n">
        <v>8.5</v>
      </c>
      <c r="G64" s="23" t="n">
        <v>9.5</v>
      </c>
      <c r="H64" s="23" t="n">
        <v>10.5</v>
      </c>
      <c r="I64" s="23" t="n">
        <v>11.5</v>
      </c>
      <c r="J64" s="23" t="n">
        <v>12.5</v>
      </c>
      <c r="K64" s="23" t="n">
        <v>13.5</v>
      </c>
    </row>
    <row r="65">
      <c r="A65" s="13" t="inlineStr">
        <is>
          <t xml:space="preserve">    Dividend Payout Ratio %</t>
        </is>
      </c>
      <c r="B65" s="14" t="n">
        <v>5.5715</v>
      </c>
      <c r="C65" s="14" t="n">
        <v>5.1753</v>
      </c>
      <c r="D65" s="14" t="n">
        <v>4.3786</v>
      </c>
      <c r="E65" s="14" t="n">
        <v>4.7677</v>
      </c>
      <c r="F65" s="14" t="n">
        <v>4.7293</v>
      </c>
      <c r="G65" s="14" t="n">
        <v>5.2021</v>
      </c>
      <c r="H65" s="14" t="n">
        <v>5.2542</v>
      </c>
      <c r="I65" s="14" t="n">
        <v>5.2348</v>
      </c>
      <c r="J65" s="14" t="n">
        <v>5.1693</v>
      </c>
      <c r="K65" s="14" t="n">
        <v>5.0673</v>
      </c>
    </row>
  </sheetData>
  <mergeCells count="9">
    <mergeCell ref="A29:L29"/>
    <mergeCell ref="A11:L11"/>
    <mergeCell ref="A47:L47"/>
    <mergeCell ref="A1:L1"/>
    <mergeCell ref="A23:L23"/>
    <mergeCell ref="A36:L36"/>
    <mergeCell ref="A61:L61"/>
    <mergeCell ref="A18:L18"/>
    <mergeCell ref="A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ITC LIMITED — CASH FLOW STATEMENT  (₹ Crore)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Line Item</t>
        </is>
      </c>
      <c r="B2" s="4" t="inlineStr">
        <is>
          <t>FY21A</t>
        </is>
      </c>
      <c r="C2" s="4" t="inlineStr">
        <is>
          <t>FY22A</t>
        </is>
      </c>
      <c r="D2" s="4" t="inlineStr">
        <is>
          <t>FY23A</t>
        </is>
      </c>
      <c r="E2" s="4" t="inlineStr">
        <is>
          <t>FY24A</t>
        </is>
      </c>
      <c r="F2" s="4" t="inlineStr">
        <is>
          <t>FY25A</t>
        </is>
      </c>
      <c r="G2" s="4" t="inlineStr">
        <is>
          <t>FY26E</t>
        </is>
      </c>
      <c r="H2" s="4" t="inlineStr">
        <is>
          <t>FY27E</t>
        </is>
      </c>
      <c r="I2" s="4" t="inlineStr">
        <is>
          <t>FY28E</t>
        </is>
      </c>
      <c r="J2" s="4" t="inlineStr">
        <is>
          <t>FY29E</t>
        </is>
      </c>
      <c r="K2" s="4" t="inlineStr">
        <is>
          <t>FY30E</t>
        </is>
      </c>
    </row>
    <row r="3">
      <c r="A3" s="5" t="inlineStr">
        <is>
          <t>A. OPERATING ACTIVITIES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9" t="inlineStr">
        <is>
          <t xml:space="preserve">    Net Profit (Continuing Operations)</t>
        </is>
      </c>
      <c r="B4" s="19" t="n">
        <v>13031</v>
      </c>
      <c r="C4" s="19" t="n">
        <v>15248</v>
      </c>
      <c r="D4" s="19" t="n">
        <v>18753</v>
      </c>
      <c r="E4" s="19" t="n">
        <v>19894</v>
      </c>
      <c r="F4" s="19" t="n">
        <v>21312</v>
      </c>
      <c r="G4" s="19" t="n">
        <v>23110</v>
      </c>
      <c r="H4" s="19" t="n">
        <v>25292</v>
      </c>
      <c r="I4" s="19" t="n">
        <v>27804</v>
      </c>
      <c r="J4" s="19" t="n">
        <v>30606</v>
      </c>
      <c r="K4" s="19" t="n">
        <v>33718</v>
      </c>
    </row>
    <row r="5">
      <c r="A5" s="9" t="inlineStr">
        <is>
          <t xml:space="preserve">    Depreciation &amp; Amortization</t>
        </is>
      </c>
      <c r="B5" s="19" t="n">
        <v>1535</v>
      </c>
      <c r="C5" s="19" t="n">
        <v>1726</v>
      </c>
      <c r="D5" s="19" t="n">
        <v>1907</v>
      </c>
      <c r="E5" s="19" t="n">
        <v>2077</v>
      </c>
      <c r="F5" s="19" t="n">
        <v>2043</v>
      </c>
      <c r="G5" s="19" t="n">
        <v>2020</v>
      </c>
      <c r="H5" s="19" t="n">
        <v>2220</v>
      </c>
      <c r="I5" s="19" t="n">
        <v>2300</v>
      </c>
      <c r="J5" s="19" t="n">
        <v>2440</v>
      </c>
      <c r="K5" s="19" t="n">
        <v>2590</v>
      </c>
    </row>
    <row r="6">
      <c r="A6" s="9" t="inlineStr">
        <is>
          <t xml:space="preserve">    Deferred Tax (charge) / credit</t>
        </is>
      </c>
      <c r="B6" s="19" t="n">
        <v>82</v>
      </c>
      <c r="C6" s="19" t="n">
        <v>44</v>
      </c>
      <c r="D6" s="10" t="n">
        <v>-82</v>
      </c>
      <c r="E6" s="19" t="n">
        <v>120</v>
      </c>
      <c r="F6" s="10" t="n">
        <v>-60</v>
      </c>
      <c r="G6" s="19" t="n">
        <v>80</v>
      </c>
      <c r="H6" s="19" t="n">
        <v>80</v>
      </c>
      <c r="I6" s="19" t="n">
        <v>80</v>
      </c>
      <c r="J6" s="19" t="n">
        <v>80</v>
      </c>
      <c r="K6" s="19" t="n">
        <v>80</v>
      </c>
    </row>
    <row r="7">
      <c r="A7" s="9" t="inlineStr">
        <is>
          <t xml:space="preserve">    Profit on Sale of Investments (neg)</t>
        </is>
      </c>
      <c r="B7" s="10" t="n">
        <v>-1820</v>
      </c>
      <c r="C7" s="10" t="n">
        <v>-2100</v>
      </c>
      <c r="D7" s="10" t="n">
        <v>-2210</v>
      </c>
      <c r="E7" s="10" t="n">
        <v>-2980</v>
      </c>
      <c r="F7" s="10" t="n">
        <v>-2800</v>
      </c>
      <c r="G7" s="10" t="n">
        <v>-2900</v>
      </c>
      <c r="H7" s="10" t="n">
        <v>-3100</v>
      </c>
      <c r="I7" s="10" t="n">
        <v>-3300</v>
      </c>
      <c r="J7" s="10" t="n">
        <v>-3500</v>
      </c>
      <c r="K7" s="10" t="n">
        <v>-3700</v>
      </c>
    </row>
    <row r="8">
      <c r="A8" s="9" t="inlineStr">
        <is>
          <t xml:space="preserve">    Other Non-Cash Adjustments</t>
        </is>
      </c>
      <c r="B8" s="19" t="n">
        <v>310</v>
      </c>
      <c r="C8" s="19" t="n">
        <v>380</v>
      </c>
      <c r="D8" s="19" t="n">
        <v>420</v>
      </c>
      <c r="E8" s="19" t="n">
        <v>450</v>
      </c>
      <c r="F8" s="19" t="n">
        <v>480</v>
      </c>
      <c r="G8" s="19" t="n">
        <v>510</v>
      </c>
      <c r="H8" s="19" t="n">
        <v>540</v>
      </c>
      <c r="I8" s="19" t="n">
        <v>570</v>
      </c>
      <c r="J8" s="19" t="n">
        <v>600</v>
      </c>
      <c r="K8" s="19" t="n">
        <v>630</v>
      </c>
    </row>
    <row r="9">
      <c r="A9" s="9" t="inlineStr">
        <is>
          <t xml:space="preserve">    Changes – Trade Receivables</t>
        </is>
      </c>
      <c r="B9" s="10" t="n">
        <v>-310</v>
      </c>
      <c r="C9" s="10" t="n">
        <v>-650</v>
      </c>
      <c r="D9" s="10" t="n">
        <v>-480</v>
      </c>
      <c r="E9" s="10" t="n">
        <v>-360</v>
      </c>
      <c r="F9" s="10" t="n">
        <v>-290</v>
      </c>
      <c r="G9" s="10" t="n">
        <v>-380</v>
      </c>
      <c r="H9" s="10" t="n">
        <v>-420</v>
      </c>
      <c r="I9" s="10" t="n">
        <v>-460</v>
      </c>
      <c r="J9" s="10" t="n">
        <v>-500</v>
      </c>
      <c r="K9" s="10" t="n">
        <v>-540</v>
      </c>
    </row>
    <row r="10">
      <c r="A10" s="9" t="inlineStr">
        <is>
          <t xml:space="preserve">    Changes – Inventories</t>
        </is>
      </c>
      <c r="B10" s="10" t="n">
        <v>-220</v>
      </c>
      <c r="C10" s="10" t="n">
        <v>-480</v>
      </c>
      <c r="D10" s="10" t="n">
        <v>-310</v>
      </c>
      <c r="E10" s="10" t="n">
        <v>-200</v>
      </c>
      <c r="F10" s="10" t="n">
        <v>-180</v>
      </c>
      <c r="G10" s="10" t="n">
        <v>-250</v>
      </c>
      <c r="H10" s="10" t="n">
        <v>-280</v>
      </c>
      <c r="I10" s="10" t="n">
        <v>-310</v>
      </c>
      <c r="J10" s="10" t="n">
        <v>-330</v>
      </c>
      <c r="K10" s="10" t="n">
        <v>-360</v>
      </c>
    </row>
    <row r="11">
      <c r="A11" s="9" t="inlineStr">
        <is>
          <t xml:space="preserve">    Changes – Trade Payables</t>
        </is>
      </c>
      <c r="B11" s="19" t="n">
        <v>410</v>
      </c>
      <c r="C11" s="19" t="n">
        <v>620</v>
      </c>
      <c r="D11" s="19" t="n">
        <v>540</v>
      </c>
      <c r="E11" s="19" t="n">
        <v>480</v>
      </c>
      <c r="F11" s="19" t="n">
        <v>420</v>
      </c>
      <c r="G11" s="19" t="n">
        <v>460</v>
      </c>
      <c r="H11" s="19" t="n">
        <v>510</v>
      </c>
      <c r="I11" s="19" t="n">
        <v>560</v>
      </c>
      <c r="J11" s="19" t="n">
        <v>600</v>
      </c>
      <c r="K11" s="19" t="n">
        <v>650</v>
      </c>
    </row>
    <row r="12">
      <c r="A12" s="9" t="inlineStr">
        <is>
          <t xml:space="preserve">    Changes – Other Working Capital</t>
        </is>
      </c>
      <c r="B12" s="10" t="n">
        <v>-180</v>
      </c>
      <c r="C12" s="10" t="n">
        <v>-210</v>
      </c>
      <c r="D12" s="10" t="n">
        <v>-280</v>
      </c>
      <c r="E12" s="10" t="n">
        <v>-310</v>
      </c>
      <c r="F12" s="10" t="n">
        <v>-190</v>
      </c>
      <c r="G12" s="10" t="n">
        <v>-220</v>
      </c>
      <c r="H12" s="10" t="n">
        <v>-250</v>
      </c>
      <c r="I12" s="10" t="n">
        <v>-280</v>
      </c>
      <c r="J12" s="10" t="n">
        <v>-310</v>
      </c>
      <c r="K12" s="10" t="n">
        <v>-340</v>
      </c>
    </row>
    <row r="13">
      <c r="A13" s="9" t="inlineStr">
        <is>
          <t xml:space="preserve">    Income Tax Paid</t>
        </is>
      </c>
      <c r="B13" s="10" t="n">
        <v>-3850</v>
      </c>
      <c r="C13" s="10" t="n">
        <v>-4900</v>
      </c>
      <c r="D13" s="10" t="n">
        <v>-4250</v>
      </c>
      <c r="E13" s="10" t="n">
        <v>-5420</v>
      </c>
      <c r="F13" s="10" t="n">
        <v>-6080</v>
      </c>
      <c r="G13" s="10" t="n">
        <v>-7150</v>
      </c>
      <c r="H13" s="10" t="n">
        <v>-7810</v>
      </c>
      <c r="I13" s="10" t="n">
        <v>-8640</v>
      </c>
      <c r="J13" s="10" t="n">
        <v>-9520</v>
      </c>
      <c r="K13" s="10" t="n">
        <v>-10460</v>
      </c>
    </row>
    <row r="14">
      <c r="A14" s="15" t="inlineStr">
        <is>
          <t>NET CASH FROM OPERATIONS (CFO)</t>
        </is>
      </c>
      <c r="B14" s="16" t="n">
        <v>14520</v>
      </c>
      <c r="C14" s="16" t="n">
        <v>16180</v>
      </c>
      <c r="D14" s="16" t="n">
        <v>18820</v>
      </c>
      <c r="E14" s="16" t="n">
        <v>19510</v>
      </c>
      <c r="F14" s="16" t="n">
        <v>20480</v>
      </c>
      <c r="G14" s="16" t="n">
        <v>22680</v>
      </c>
      <c r="H14" s="16" t="n">
        <v>24882</v>
      </c>
      <c r="I14" s="16" t="n">
        <v>27324</v>
      </c>
      <c r="J14" s="16" t="n">
        <v>30266</v>
      </c>
      <c r="K14" s="16" t="n">
        <v>33268</v>
      </c>
    </row>
    <row r="15">
      <c r="A15" s="13" t="inlineStr">
        <is>
          <t xml:space="preserve">    CFO as % of Net Revenue</t>
        </is>
      </c>
      <c r="B15" s="14" t="n">
        <v>0.529</v>
      </c>
      <c r="C15" s="14" t="n">
        <v>0.4678</v>
      </c>
      <c r="D15" s="14" t="n">
        <v>0.4769</v>
      </c>
      <c r="E15" s="14" t="n">
        <v>0.466</v>
      </c>
      <c r="F15" s="14" t="n">
        <v>0.4762</v>
      </c>
      <c r="G15" s="14" t="n">
        <v>0.4794</v>
      </c>
      <c r="H15" s="14" t="n">
        <v>0.4772</v>
      </c>
      <c r="I15" s="14" t="n">
        <v>0.4764</v>
      </c>
      <c r="J15" s="14" t="n">
        <v>0.4874</v>
      </c>
      <c r="K15" s="14" t="n">
        <v>0.4951</v>
      </c>
    </row>
    <row r="17">
      <c r="A17" s="5" t="inlineStr">
        <is>
          <t>B. INVESTING ACTIVITIES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3" t="n"/>
    </row>
    <row r="18">
      <c r="A18" s="9" t="inlineStr">
        <is>
          <t xml:space="preserve">    Capital Expenditure (incl. CWIP)</t>
        </is>
      </c>
      <c r="B18" s="10" t="n">
        <v>-2480</v>
      </c>
      <c r="C18" s="10" t="n">
        <v>-2890</v>
      </c>
      <c r="D18" s="10" t="n">
        <v>-3190</v>
      </c>
      <c r="E18" s="10" t="n">
        <v>-3410</v>
      </c>
      <c r="F18" s="10" t="n">
        <v>-3580</v>
      </c>
      <c r="G18" s="10" t="n">
        <v>-3800</v>
      </c>
      <c r="H18" s="10" t="n">
        <v>-4000</v>
      </c>
      <c r="I18" s="10" t="n">
        <v>-4200</v>
      </c>
      <c r="J18" s="10" t="n">
        <v>-4400</v>
      </c>
      <c r="K18" s="10" t="n">
        <v>-4600</v>
      </c>
    </row>
    <row r="19">
      <c r="A19" s="9" t="inlineStr">
        <is>
          <t xml:space="preserve">    Purchase of Investments (Treasury)</t>
        </is>
      </c>
      <c r="B19" s="10" t="n">
        <v>-18200</v>
      </c>
      <c r="C19" s="10" t="n">
        <v>-22400</v>
      </c>
      <c r="D19" s="10" t="n">
        <v>-25600</v>
      </c>
      <c r="E19" s="10" t="n">
        <v>-28800</v>
      </c>
      <c r="F19" s="10" t="n">
        <v>-32400</v>
      </c>
      <c r="G19" s="10" t="n">
        <v>-34000</v>
      </c>
      <c r="H19" s="10" t="n">
        <v>-36000</v>
      </c>
      <c r="I19" s="10" t="n">
        <v>-38000</v>
      </c>
      <c r="J19" s="10" t="n">
        <v>-40000</v>
      </c>
      <c r="K19" s="10" t="n">
        <v>-42000</v>
      </c>
    </row>
    <row r="20">
      <c r="A20" s="9" t="inlineStr">
        <is>
          <t xml:space="preserve">    Sale / Maturity of Investments</t>
        </is>
      </c>
      <c r="B20" s="19" t="n">
        <v>20100</v>
      </c>
      <c r="C20" s="19" t="n">
        <v>23800</v>
      </c>
      <c r="D20" s="19" t="n">
        <v>27100</v>
      </c>
      <c r="E20" s="19" t="n">
        <v>30200</v>
      </c>
      <c r="F20" s="19" t="n">
        <v>33600</v>
      </c>
      <c r="G20" s="19" t="n">
        <v>35200</v>
      </c>
      <c r="H20" s="19" t="n">
        <v>37200</v>
      </c>
      <c r="I20" s="19" t="n">
        <v>39200</v>
      </c>
      <c r="J20" s="19" t="n">
        <v>41200</v>
      </c>
      <c r="K20" s="19" t="n">
        <v>43200</v>
      </c>
    </row>
    <row r="21">
      <c r="A21" s="9" t="inlineStr">
        <is>
          <t xml:space="preserve">    Interest Received</t>
        </is>
      </c>
      <c r="B21" s="19" t="n">
        <v>890</v>
      </c>
      <c r="C21" s="19" t="n">
        <v>980</v>
      </c>
      <c r="D21" s="19" t="n">
        <v>1080</v>
      </c>
      <c r="E21" s="19" t="n">
        <v>1210</v>
      </c>
      <c r="F21" s="19" t="n">
        <v>1340</v>
      </c>
      <c r="G21" s="19" t="n">
        <v>1450</v>
      </c>
      <c r="H21" s="19" t="n">
        <v>1560</v>
      </c>
      <c r="I21" s="19" t="n">
        <v>1680</v>
      </c>
      <c r="J21" s="19" t="n">
        <v>1810</v>
      </c>
      <c r="K21" s="19" t="n">
        <v>1950</v>
      </c>
    </row>
    <row r="22">
      <c r="A22" s="9" t="inlineStr">
        <is>
          <t xml:space="preserve">    Dividends Received from Investments</t>
        </is>
      </c>
      <c r="B22" s="19" t="n">
        <v>420</v>
      </c>
      <c r="C22" s="19" t="n">
        <v>480</v>
      </c>
      <c r="D22" s="19" t="n">
        <v>550</v>
      </c>
      <c r="E22" s="19" t="n">
        <v>620</v>
      </c>
      <c r="F22" s="19" t="n">
        <v>680</v>
      </c>
      <c r="G22" s="19" t="n">
        <v>730</v>
      </c>
      <c r="H22" s="19" t="n">
        <v>790</v>
      </c>
      <c r="I22" s="19" t="n">
        <v>850</v>
      </c>
      <c r="J22" s="19" t="n">
        <v>920</v>
      </c>
      <c r="K22" s="19" t="n">
        <v>990</v>
      </c>
    </row>
    <row r="23">
      <c r="A23" s="9" t="inlineStr">
        <is>
          <t xml:space="preserve">    Proceeds from Hotels Demerger (FY25)</t>
        </is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v>800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</row>
    <row r="24">
      <c r="A24" s="11" t="inlineStr">
        <is>
          <t>NET CASH FROM INVESTING (CFI)</t>
        </is>
      </c>
      <c r="B24" s="12" t="n">
        <v>730</v>
      </c>
      <c r="C24" s="24" t="n">
        <v>-30</v>
      </c>
      <c r="D24" s="24" t="n">
        <v>-60</v>
      </c>
      <c r="E24" s="24" t="n">
        <v>-180</v>
      </c>
      <c r="F24" s="12" t="n">
        <v>440</v>
      </c>
      <c r="G24" s="24" t="n">
        <v>-420</v>
      </c>
      <c r="H24" s="24" t="n">
        <v>-450</v>
      </c>
      <c r="I24" s="24" t="n">
        <v>-470</v>
      </c>
      <c r="J24" s="24" t="n">
        <v>-470</v>
      </c>
      <c r="K24" s="24" t="n">
        <v>-460</v>
      </c>
    </row>
    <row r="26">
      <c r="A26" s="5" t="inlineStr">
        <is>
          <t>C. FINANCING ACTIVITIES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7">
      <c r="A27" s="9" t="inlineStr">
        <is>
          <t xml:space="preserve">    Dividends Paid to Shareholders</t>
        </is>
      </c>
      <c r="B27" s="10" t="n">
        <v>-7218</v>
      </c>
      <c r="C27" s="10" t="n">
        <v>-7841</v>
      </c>
      <c r="D27" s="10" t="n">
        <v>-8160</v>
      </c>
      <c r="E27" s="10" t="n">
        <v>-9424</v>
      </c>
      <c r="F27" s="10" t="n">
        <v>-10684</v>
      </c>
      <c r="G27" s="10" t="n">
        <v>-11938</v>
      </c>
      <c r="H27" s="10" t="n">
        <v>-13298</v>
      </c>
      <c r="I27" s="10" t="n">
        <v>-14598</v>
      </c>
      <c r="J27" s="10" t="n">
        <v>-15714</v>
      </c>
      <c r="K27" s="10" t="n">
        <v>-16898</v>
      </c>
    </row>
    <row r="28">
      <c r="A28" s="9" t="inlineStr">
        <is>
          <t xml:space="preserve">    Buyback of Equity Shares</t>
        </is>
      </c>
      <c r="B28" s="19" t="n">
        <v>0</v>
      </c>
      <c r="C28" s="10" t="n">
        <v>-3500</v>
      </c>
      <c r="D28" s="19" t="n">
        <v>0</v>
      </c>
      <c r="E28" s="19" t="n">
        <v>0</v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19" t="n">
        <v>0</v>
      </c>
    </row>
    <row r="29">
      <c r="A29" s="9" t="inlineStr">
        <is>
          <t xml:space="preserve">    Net Borrowings (repayment)</t>
        </is>
      </c>
      <c r="B29" s="19" t="n">
        <v>180</v>
      </c>
      <c r="C29" s="10" t="n">
        <v>-90</v>
      </c>
      <c r="D29" s="10" t="n">
        <v>-80</v>
      </c>
      <c r="E29" s="10" t="n">
        <v>-70</v>
      </c>
      <c r="F29" s="10" t="n">
        <v>-60</v>
      </c>
      <c r="G29" s="10" t="n">
        <v>-50</v>
      </c>
      <c r="H29" s="10" t="n">
        <v>-40</v>
      </c>
      <c r="I29" s="10" t="n">
        <v>-30</v>
      </c>
      <c r="J29" s="10" t="n">
        <v>-20</v>
      </c>
      <c r="K29" s="10" t="n">
        <v>-10</v>
      </c>
    </row>
    <row r="30">
      <c r="A30" s="11" t="inlineStr">
        <is>
          <t>NET CASH FROM FINANCING (CFF)</t>
        </is>
      </c>
      <c r="B30" s="24" t="n">
        <v>-7038</v>
      </c>
      <c r="C30" s="24" t="n">
        <v>-11431</v>
      </c>
      <c r="D30" s="24" t="n">
        <v>-8240</v>
      </c>
      <c r="E30" s="24" t="n">
        <v>-9494</v>
      </c>
      <c r="F30" s="24" t="n">
        <v>-10744</v>
      </c>
      <c r="G30" s="24" t="n">
        <v>-11988</v>
      </c>
      <c r="H30" s="24" t="n">
        <v>-13338</v>
      </c>
      <c r="I30" s="24" t="n">
        <v>-14628</v>
      </c>
      <c r="J30" s="24" t="n">
        <v>-15734</v>
      </c>
      <c r="K30" s="24" t="n">
        <v>-16908</v>
      </c>
    </row>
    <row r="32">
      <c r="A32" s="5" t="inlineStr">
        <is>
          <t>D. CASH POSITION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3" t="n"/>
    </row>
    <row r="33">
      <c r="A33" s="17" t="inlineStr">
        <is>
          <t>NET CHANGE IN CASH</t>
        </is>
      </c>
      <c r="B33" s="25" t="n">
        <v>8212</v>
      </c>
      <c r="C33" s="25" t="n">
        <v>4719</v>
      </c>
      <c r="D33" s="25" t="n">
        <v>10520</v>
      </c>
      <c r="E33" s="25" t="n">
        <v>9836</v>
      </c>
      <c r="F33" s="25" t="n">
        <v>10176</v>
      </c>
      <c r="G33" s="25" t="n">
        <v>10272</v>
      </c>
      <c r="H33" s="25" t="n">
        <v>11094</v>
      </c>
      <c r="I33" s="25" t="n">
        <v>12226</v>
      </c>
      <c r="J33" s="25" t="n">
        <v>14062</v>
      </c>
      <c r="K33" s="25" t="n">
        <v>15900</v>
      </c>
    </row>
    <row r="34">
      <c r="A34" s="9" t="inlineStr">
        <is>
          <t>Beginning Cash &amp; Equivalents</t>
        </is>
      </c>
      <c r="B34" s="19" t="n">
        <v>12450</v>
      </c>
      <c r="C34" s="19" t="n">
        <v>16152</v>
      </c>
      <c r="D34" s="19" t="n">
        <v>20901</v>
      </c>
      <c r="E34" s="19" t="n">
        <v>31421</v>
      </c>
      <c r="F34" s="19" t="n">
        <v>41641</v>
      </c>
      <c r="G34" s="19" t="n">
        <v>51517</v>
      </c>
      <c r="H34" s="19" t="n">
        <v>61789</v>
      </c>
      <c r="I34" s="19" t="n">
        <v>73883</v>
      </c>
      <c r="J34" s="19" t="n">
        <v>86109</v>
      </c>
      <c r="K34" s="19" t="n">
        <v>100175</v>
      </c>
    </row>
    <row r="35">
      <c r="A35" s="15" t="inlineStr">
        <is>
          <t>Ending Cash &amp; Cash Equivalents</t>
        </is>
      </c>
      <c r="B35" s="16" t="n">
        <v>16152</v>
      </c>
      <c r="C35" s="16" t="n">
        <v>20901</v>
      </c>
      <c r="D35" s="16" t="n">
        <v>31421</v>
      </c>
      <c r="E35" s="16" t="n">
        <v>41641</v>
      </c>
      <c r="F35" s="16" t="n">
        <v>51517</v>
      </c>
      <c r="G35" s="16" t="n">
        <v>61789</v>
      </c>
      <c r="H35" s="16" t="n">
        <v>73883</v>
      </c>
      <c r="I35" s="16" t="n">
        <v>86109</v>
      </c>
      <c r="J35" s="16" t="n">
        <v>100175</v>
      </c>
      <c r="K35" s="16" t="n">
        <v>116535</v>
      </c>
    </row>
    <row r="37">
      <c r="A37" s="5" t="inlineStr">
        <is>
          <t>E. FREE CASH FLOW SUMMARY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3" t="n"/>
    </row>
    <row r="38">
      <c r="A38" s="15" t="inlineStr">
        <is>
          <t>FREE CASH FLOW (CFO - CapEx)</t>
        </is>
      </c>
      <c r="B38" s="16" t="n">
        <v>12040</v>
      </c>
      <c r="C38" s="16" t="n">
        <v>13290</v>
      </c>
      <c r="D38" s="16" t="n">
        <v>15630</v>
      </c>
      <c r="E38" s="16" t="n">
        <v>16100</v>
      </c>
      <c r="F38" s="16" t="n">
        <v>16900</v>
      </c>
      <c r="G38" s="16" t="n">
        <v>18880</v>
      </c>
      <c r="H38" s="16" t="n">
        <v>20882</v>
      </c>
      <c r="I38" s="16" t="n">
        <v>23124</v>
      </c>
      <c r="J38" s="16" t="n">
        <v>25866</v>
      </c>
      <c r="K38" s="16" t="n">
        <v>28668</v>
      </c>
    </row>
    <row r="39">
      <c r="A39" s="13" t="inlineStr">
        <is>
          <t xml:space="preserve">    FCF as % of Net Revenue</t>
        </is>
      </c>
      <c r="B39" s="14" t="n">
        <v>0.4386</v>
      </c>
      <c r="C39" s="14" t="n">
        <v>0.3842</v>
      </c>
      <c r="D39" s="14" t="n">
        <v>0.3961</v>
      </c>
      <c r="E39" s="14" t="n">
        <v>0.3845</v>
      </c>
      <c r="F39" s="14" t="n">
        <v>0.3929</v>
      </c>
      <c r="G39" s="14" t="n">
        <v>0.3991</v>
      </c>
      <c r="H39" s="14" t="n">
        <v>0.4005</v>
      </c>
      <c r="I39" s="14" t="n">
        <v>0.4031</v>
      </c>
      <c r="J39" s="14" t="n">
        <v>0.4165</v>
      </c>
      <c r="K39" s="14" t="n">
        <v>0.4266</v>
      </c>
    </row>
    <row r="40">
      <c r="A40" s="13" t="inlineStr">
        <is>
          <t xml:space="preserve">    FCF as % of PAT</t>
        </is>
      </c>
      <c r="B40" s="14" t="n">
        <v>0.924</v>
      </c>
      <c r="C40" s="14" t="n">
        <v>0.8716</v>
      </c>
      <c r="D40" s="14" t="n">
        <v>0.8335</v>
      </c>
      <c r="E40" s="14" t="n">
        <v>0.8093</v>
      </c>
      <c r="F40" s="14" t="n">
        <v>0.7433999999999999</v>
      </c>
      <c r="G40" s="14" t="n">
        <v>0.8169999999999999</v>
      </c>
      <c r="H40" s="14" t="n">
        <v>0.8256</v>
      </c>
      <c r="I40" s="14" t="n">
        <v>0.8317</v>
      </c>
      <c r="J40" s="14" t="n">
        <v>0.8451</v>
      </c>
      <c r="K40" s="14" t="n">
        <v>0.8502</v>
      </c>
    </row>
  </sheetData>
  <mergeCells count="6">
    <mergeCell ref="A26:L26"/>
    <mergeCell ref="A1:L1"/>
    <mergeCell ref="A37:L37"/>
    <mergeCell ref="A32:L32"/>
    <mergeCell ref="A17:L17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2" customHeight="1">
      <c r="A1" s="1" t="inlineStr">
        <is>
          <t>ITC LIMITED — BALANCE SHEET  (₹ Crore)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inlineStr">
        <is>
          <t>Line Item</t>
        </is>
      </c>
      <c r="B2" s="4" t="inlineStr">
        <is>
          <t>FY21A</t>
        </is>
      </c>
      <c r="C2" s="4" t="inlineStr">
        <is>
          <t>FY22A</t>
        </is>
      </c>
      <c r="D2" s="4" t="inlineStr">
        <is>
          <t>FY23A</t>
        </is>
      </c>
      <c r="E2" s="4" t="inlineStr">
        <is>
          <t>FY24A</t>
        </is>
      </c>
      <c r="F2" s="4" t="inlineStr">
        <is>
          <t>FY25A</t>
        </is>
      </c>
      <c r="G2" s="4" t="inlineStr">
        <is>
          <t>FY26E</t>
        </is>
      </c>
      <c r="H2" s="4" t="inlineStr">
        <is>
          <t>FY27E</t>
        </is>
      </c>
      <c r="I2" s="4" t="inlineStr">
        <is>
          <t>FY28E</t>
        </is>
      </c>
      <c r="J2" s="4" t="inlineStr">
        <is>
          <t>FY29E</t>
        </is>
      </c>
      <c r="K2" s="4" t="inlineStr">
        <is>
          <t>FY30E</t>
        </is>
      </c>
    </row>
    <row r="3">
      <c r="A3" s="5" t="inlineStr">
        <is>
          <t>ASSETS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>
      <c r="A4" s="6" t="inlineStr">
        <is>
          <t xml:space="preserve">  Current Assets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/>
    </row>
    <row r="5">
      <c r="A5" s="9" t="inlineStr">
        <is>
          <t xml:space="preserve">        Cash &amp; Cash Equivalents</t>
        </is>
      </c>
      <c r="B5" s="19" t="n">
        <v>3702</v>
      </c>
      <c r="C5" s="19" t="n">
        <v>4501</v>
      </c>
      <c r="D5" s="19" t="n">
        <v>9920</v>
      </c>
      <c r="E5" s="19" t="n">
        <v>10241</v>
      </c>
      <c r="F5" s="19" t="n">
        <v>10517</v>
      </c>
      <c r="G5" s="19" t="n">
        <v>12617</v>
      </c>
      <c r="H5" s="19" t="n">
        <v>14883</v>
      </c>
      <c r="I5" s="19" t="n">
        <v>17109</v>
      </c>
      <c r="J5" s="19" t="n">
        <v>21175</v>
      </c>
      <c r="K5" s="19" t="n">
        <v>26535</v>
      </c>
    </row>
    <row r="6">
      <c r="A6" s="9" t="inlineStr">
        <is>
          <t xml:space="preserve">        Current Investments (Treasury Portfolio)</t>
        </is>
      </c>
      <c r="B6" s="19" t="n">
        <v>12450</v>
      </c>
      <c r="C6" s="19" t="n">
        <v>16400</v>
      </c>
      <c r="D6" s="19" t="n">
        <v>21501</v>
      </c>
      <c r="E6" s="19" t="n">
        <v>31400</v>
      </c>
      <c r="F6" s="19" t="n">
        <v>41000</v>
      </c>
      <c r="G6" s="19" t="n">
        <v>49172</v>
      </c>
      <c r="H6" s="19" t="n">
        <v>58906</v>
      </c>
      <c r="I6" s="19" t="n">
        <v>69000</v>
      </c>
      <c r="J6" s="19" t="n">
        <v>78934</v>
      </c>
      <c r="K6" s="19" t="n">
        <v>90000</v>
      </c>
    </row>
    <row r="7">
      <c r="A7" s="9" t="inlineStr">
        <is>
          <t xml:space="preserve">        Trade Receivables</t>
        </is>
      </c>
      <c r="B7" s="19" t="n">
        <v>2180</v>
      </c>
      <c r="C7" s="19" t="n">
        <v>2830</v>
      </c>
      <c r="D7" s="19" t="n">
        <v>3310</v>
      </c>
      <c r="E7" s="19" t="n">
        <v>3670</v>
      </c>
      <c r="F7" s="19" t="n">
        <v>3960</v>
      </c>
      <c r="G7" s="19" t="n">
        <v>4340</v>
      </c>
      <c r="H7" s="19" t="n">
        <v>4760</v>
      </c>
      <c r="I7" s="19" t="n">
        <v>5220</v>
      </c>
      <c r="J7" s="19" t="n">
        <v>5720</v>
      </c>
      <c r="K7" s="19" t="n">
        <v>6270</v>
      </c>
    </row>
    <row r="8">
      <c r="A8" s="9" t="inlineStr">
        <is>
          <t xml:space="preserve">        Inventories (RM + WIP + FG)</t>
        </is>
      </c>
      <c r="B8" s="19" t="n">
        <v>3420</v>
      </c>
      <c r="C8" s="19" t="n">
        <v>3900</v>
      </c>
      <c r="D8" s="19" t="n">
        <v>4210</v>
      </c>
      <c r="E8" s="19" t="n">
        <v>4410</v>
      </c>
      <c r="F8" s="19" t="n">
        <v>4590</v>
      </c>
      <c r="G8" s="19" t="n">
        <v>4840</v>
      </c>
      <c r="H8" s="19" t="n">
        <v>5120</v>
      </c>
      <c r="I8" s="19" t="n">
        <v>5430</v>
      </c>
      <c r="J8" s="19" t="n">
        <v>5760</v>
      </c>
      <c r="K8" s="19" t="n">
        <v>6110</v>
      </c>
    </row>
    <row r="9">
      <c r="A9" s="9" t="inlineStr">
        <is>
          <t xml:space="preserve">        Loans &amp; Advances (Current)</t>
        </is>
      </c>
      <c r="B9" s="19" t="n">
        <v>890</v>
      </c>
      <c r="C9" s="19" t="n">
        <v>980</v>
      </c>
      <c r="D9" s="19" t="n">
        <v>1020</v>
      </c>
      <c r="E9" s="19" t="n">
        <v>1150</v>
      </c>
      <c r="F9" s="19" t="n">
        <v>1210</v>
      </c>
      <c r="G9" s="19" t="n">
        <v>1280</v>
      </c>
      <c r="H9" s="19" t="n">
        <v>1360</v>
      </c>
      <c r="I9" s="19" t="n">
        <v>1440</v>
      </c>
      <c r="J9" s="19" t="n">
        <v>1530</v>
      </c>
      <c r="K9" s="19" t="n">
        <v>1620</v>
      </c>
    </row>
    <row r="10">
      <c r="A10" s="9" t="inlineStr">
        <is>
          <t xml:space="preserve">        Other Current Assets</t>
        </is>
      </c>
      <c r="B10" s="19" t="n">
        <v>1820</v>
      </c>
      <c r="C10" s="19" t="n">
        <v>2010</v>
      </c>
      <c r="D10" s="19" t="n">
        <v>2280</v>
      </c>
      <c r="E10" s="19" t="n">
        <v>2450</v>
      </c>
      <c r="F10" s="19" t="n">
        <v>2640</v>
      </c>
      <c r="G10" s="19" t="n">
        <v>2830</v>
      </c>
      <c r="H10" s="19" t="n">
        <v>3040</v>
      </c>
      <c r="I10" s="19" t="n">
        <v>3270</v>
      </c>
      <c r="J10" s="19" t="n">
        <v>3510</v>
      </c>
      <c r="K10" s="19" t="n">
        <v>3770</v>
      </c>
    </row>
    <row r="11">
      <c r="A11" s="11" t="inlineStr">
        <is>
          <t xml:space="preserve">  TOTAL CURRENT ASSETS</t>
        </is>
      </c>
      <c r="B11" s="12" t="n">
        <v>24462</v>
      </c>
      <c r="C11" s="12" t="n">
        <v>30621</v>
      </c>
      <c r="D11" s="12" t="n">
        <v>42241</v>
      </c>
      <c r="E11" s="12" t="n">
        <v>53321</v>
      </c>
      <c r="F11" s="12" t="n">
        <v>63917</v>
      </c>
      <c r="G11" s="12" t="n">
        <v>75079</v>
      </c>
      <c r="H11" s="12" t="n">
        <v>88069</v>
      </c>
      <c r="I11" s="12" t="n">
        <v>101469</v>
      </c>
      <c r="J11" s="12" t="n">
        <v>116629</v>
      </c>
      <c r="K11" s="12" t="n">
        <v>134305</v>
      </c>
    </row>
    <row r="13">
      <c r="A13" s="6" t="inlineStr">
        <is>
          <t xml:space="preserve">  Non-Current Assets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3" t="n"/>
    </row>
    <row r="14">
      <c r="A14" s="9" t="inlineStr">
        <is>
          <t xml:space="preserve">        Property, Plant &amp; Equipment (gross)</t>
        </is>
      </c>
      <c r="B14" s="19" t="n">
        <v>24500</v>
      </c>
      <c r="C14" s="19" t="n">
        <v>26200</v>
      </c>
      <c r="D14" s="19" t="n">
        <v>27900</v>
      </c>
      <c r="E14" s="19" t="n">
        <v>29500</v>
      </c>
      <c r="F14" s="19" t="n">
        <v>30800</v>
      </c>
      <c r="G14" s="19" t="n">
        <v>32300</v>
      </c>
      <c r="H14" s="19" t="n">
        <v>34100</v>
      </c>
      <c r="I14" s="19" t="n">
        <v>36000</v>
      </c>
      <c r="J14" s="19" t="n">
        <v>38000</v>
      </c>
      <c r="K14" s="19" t="n">
        <v>40200</v>
      </c>
    </row>
    <row r="15">
      <c r="A15" s="9" t="inlineStr">
        <is>
          <t xml:space="preserve">        Less: Accumulated Depreciation</t>
        </is>
      </c>
      <c r="B15" s="10" t="n">
        <v>-8200</v>
      </c>
      <c r="C15" s="10" t="n">
        <v>-9700</v>
      </c>
      <c r="D15" s="10" t="n">
        <v>-11100</v>
      </c>
      <c r="E15" s="10" t="n">
        <v>-12700</v>
      </c>
      <c r="F15" s="10" t="n">
        <v>-14300</v>
      </c>
      <c r="G15" s="10" t="n">
        <v>-15800</v>
      </c>
      <c r="H15" s="10" t="n">
        <v>-17600</v>
      </c>
      <c r="I15" s="10" t="n">
        <v>-19400</v>
      </c>
      <c r="J15" s="10" t="n">
        <v>-21400</v>
      </c>
      <c r="K15" s="10" t="n">
        <v>-23600</v>
      </c>
    </row>
    <row r="16">
      <c r="A16" s="9" t="inlineStr">
        <is>
          <t xml:space="preserve">        PP&amp;E – Net</t>
        </is>
      </c>
      <c r="B16" s="19" t="n">
        <v>16300</v>
      </c>
      <c r="C16" s="19" t="n">
        <v>16500</v>
      </c>
      <c r="D16" s="19" t="n">
        <v>16800</v>
      </c>
      <c r="E16" s="19" t="n">
        <v>16800</v>
      </c>
      <c r="F16" s="19" t="n">
        <v>16500</v>
      </c>
      <c r="G16" s="19" t="n">
        <v>16500</v>
      </c>
      <c r="H16" s="19" t="n">
        <v>16500</v>
      </c>
      <c r="I16" s="19" t="n">
        <v>16600</v>
      </c>
      <c r="J16" s="19" t="n">
        <v>16600</v>
      </c>
      <c r="K16" s="19" t="n">
        <v>16600</v>
      </c>
    </row>
    <row r="17">
      <c r="A17" s="9" t="inlineStr">
        <is>
          <t xml:space="preserve">        Capital Work-in-Progress (CWIP)</t>
        </is>
      </c>
      <c r="B17" s="19" t="n">
        <v>2100</v>
      </c>
      <c r="C17" s="19" t="n">
        <v>2400</v>
      </c>
      <c r="D17" s="19" t="n">
        <v>2600</v>
      </c>
      <c r="E17" s="19" t="n">
        <v>2800</v>
      </c>
      <c r="F17" s="19" t="n">
        <v>2900</v>
      </c>
      <c r="G17" s="19" t="n">
        <v>3100</v>
      </c>
      <c r="H17" s="19" t="n">
        <v>3300</v>
      </c>
      <c r="I17" s="19" t="n">
        <v>3400</v>
      </c>
      <c r="J17" s="19" t="n">
        <v>3500</v>
      </c>
      <c r="K17" s="19" t="n">
        <v>3600</v>
      </c>
    </row>
    <row r="18">
      <c r="A18" s="9" t="inlineStr">
        <is>
          <t xml:space="preserve">        Right-of-Use Assets (Leases)</t>
        </is>
      </c>
      <c r="B18" s="19" t="n">
        <v>980</v>
      </c>
      <c r="C18" s="19" t="n">
        <v>1050</v>
      </c>
      <c r="D18" s="19" t="n">
        <v>1180</v>
      </c>
      <c r="E18" s="19" t="n">
        <v>1250</v>
      </c>
      <c r="F18" s="19" t="n">
        <v>1310</v>
      </c>
      <c r="G18" s="19" t="n">
        <v>1380</v>
      </c>
      <c r="H18" s="19" t="n">
        <v>1460</v>
      </c>
      <c r="I18" s="19" t="n">
        <v>1540</v>
      </c>
      <c r="J18" s="19" t="n">
        <v>1630</v>
      </c>
      <c r="K18" s="19" t="n">
        <v>1720</v>
      </c>
    </row>
    <row r="19">
      <c r="A19" s="9" t="inlineStr">
        <is>
          <t xml:space="preserve">        Intangible Assets</t>
        </is>
      </c>
      <c r="B19" s="19" t="n">
        <v>420</v>
      </c>
      <c r="C19" s="19" t="n">
        <v>460</v>
      </c>
      <c r="D19" s="19" t="n">
        <v>520</v>
      </c>
      <c r="E19" s="19" t="n">
        <v>580</v>
      </c>
      <c r="F19" s="19" t="n">
        <v>620</v>
      </c>
      <c r="G19" s="19" t="n">
        <v>660</v>
      </c>
      <c r="H19" s="19" t="n">
        <v>700</v>
      </c>
      <c r="I19" s="19" t="n">
        <v>740</v>
      </c>
      <c r="J19" s="19" t="n">
        <v>790</v>
      </c>
      <c r="K19" s="19" t="n">
        <v>840</v>
      </c>
    </row>
    <row r="20">
      <c r="A20" s="9" t="inlineStr">
        <is>
          <t xml:space="preserve">        Goodwill</t>
        </is>
      </c>
      <c r="B20" s="19" t="n">
        <v>380</v>
      </c>
      <c r="C20" s="19" t="n">
        <v>380</v>
      </c>
      <c r="D20" s="19" t="n">
        <v>380</v>
      </c>
      <c r="E20" s="19" t="n">
        <v>380</v>
      </c>
      <c r="F20" s="19" t="n">
        <v>380</v>
      </c>
      <c r="G20" s="19" t="n">
        <v>380</v>
      </c>
      <c r="H20" s="19" t="n">
        <v>380</v>
      </c>
      <c r="I20" s="19" t="n">
        <v>380</v>
      </c>
      <c r="J20" s="19" t="n">
        <v>380</v>
      </c>
      <c r="K20" s="19" t="n">
        <v>380</v>
      </c>
    </row>
    <row r="21">
      <c r="A21" s="9" t="inlineStr">
        <is>
          <t xml:space="preserve">        Non-Current Investments (Strategic)</t>
        </is>
      </c>
      <c r="B21" s="19" t="n">
        <v>2800</v>
      </c>
      <c r="C21" s="19" t="n">
        <v>3100</v>
      </c>
      <c r="D21" s="19" t="n">
        <v>3500</v>
      </c>
      <c r="E21" s="19" t="n">
        <v>3900</v>
      </c>
      <c r="F21" s="19" t="n">
        <v>4200</v>
      </c>
      <c r="G21" s="19" t="n">
        <v>4500</v>
      </c>
      <c r="H21" s="19" t="n">
        <v>4800</v>
      </c>
      <c r="I21" s="19" t="n">
        <v>5100</v>
      </c>
      <c r="J21" s="19" t="n">
        <v>5400</v>
      </c>
      <c r="K21" s="19" t="n">
        <v>5700</v>
      </c>
    </row>
    <row r="22">
      <c r="A22" s="9" t="inlineStr">
        <is>
          <t xml:space="preserve">        Loans &amp; Advances (Non-Current)</t>
        </is>
      </c>
      <c r="B22" s="19" t="n">
        <v>560</v>
      </c>
      <c r="C22" s="19" t="n">
        <v>610</v>
      </c>
      <c r="D22" s="19" t="n">
        <v>670</v>
      </c>
      <c r="E22" s="19" t="n">
        <v>730</v>
      </c>
      <c r="F22" s="19" t="n">
        <v>790</v>
      </c>
      <c r="G22" s="19" t="n">
        <v>850</v>
      </c>
      <c r="H22" s="19" t="n">
        <v>920</v>
      </c>
      <c r="I22" s="19" t="n">
        <v>990</v>
      </c>
      <c r="J22" s="19" t="n">
        <v>1070</v>
      </c>
      <c r="K22" s="19" t="n">
        <v>1150</v>
      </c>
    </row>
    <row r="23">
      <c r="A23" s="9" t="inlineStr">
        <is>
          <t xml:space="preserve">        Other Non-Current Assets</t>
        </is>
      </c>
      <c r="B23" s="19" t="n">
        <v>1280</v>
      </c>
      <c r="C23" s="19" t="n">
        <v>1420</v>
      </c>
      <c r="D23" s="19" t="n">
        <v>1560</v>
      </c>
      <c r="E23" s="19" t="n">
        <v>1710</v>
      </c>
      <c r="F23" s="19" t="n">
        <v>1860</v>
      </c>
      <c r="G23" s="19" t="n">
        <v>2010</v>
      </c>
      <c r="H23" s="19" t="n">
        <v>2180</v>
      </c>
      <c r="I23" s="19" t="n">
        <v>2360</v>
      </c>
      <c r="J23" s="19" t="n">
        <v>2550</v>
      </c>
      <c r="K23" s="19" t="n">
        <v>2760</v>
      </c>
    </row>
    <row r="24">
      <c r="A24" s="11" t="inlineStr">
        <is>
          <t xml:space="preserve">  TOTAL NON-CURRENT ASSETS</t>
        </is>
      </c>
      <c r="B24" s="12" t="n">
        <v>24820</v>
      </c>
      <c r="C24" s="12" t="n">
        <v>25920</v>
      </c>
      <c r="D24" s="12" t="n">
        <v>27210</v>
      </c>
      <c r="E24" s="12" t="n">
        <v>28150</v>
      </c>
      <c r="F24" s="12" t="n">
        <v>28560</v>
      </c>
      <c r="G24" s="12" t="n">
        <v>29380</v>
      </c>
      <c r="H24" s="12" t="n">
        <v>30240</v>
      </c>
      <c r="I24" s="12" t="n">
        <v>31110</v>
      </c>
      <c r="J24" s="12" t="n">
        <v>31920</v>
      </c>
      <c r="K24" s="12" t="n">
        <v>32750</v>
      </c>
    </row>
    <row r="26">
      <c r="A26" s="15" t="inlineStr">
        <is>
          <t>TOTAL ASSETS</t>
        </is>
      </c>
      <c r="B26" s="16" t="n">
        <v>49282</v>
      </c>
      <c r="C26" s="16" t="n">
        <v>56541</v>
      </c>
      <c r="D26" s="16" t="n">
        <v>69451</v>
      </c>
      <c r="E26" s="16" t="n">
        <v>81471</v>
      </c>
      <c r="F26" s="16" t="n">
        <v>92477</v>
      </c>
      <c r="G26" s="16" t="n">
        <v>104459</v>
      </c>
      <c r="H26" s="16" t="n">
        <v>118309</v>
      </c>
      <c r="I26" s="16" t="n">
        <v>132579</v>
      </c>
      <c r="J26" s="16" t="n">
        <v>148549</v>
      </c>
      <c r="K26" s="16" t="n">
        <v>167055</v>
      </c>
    </row>
    <row r="29">
      <c r="A29" s="5" t="inlineStr">
        <is>
          <t>LIABILITIES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</row>
    <row r="30">
      <c r="A30" s="6" t="inlineStr">
        <is>
          <t xml:space="preserve">  Current Liabilities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3" t="n"/>
    </row>
    <row r="31">
      <c r="A31" s="9" t="inlineStr">
        <is>
          <t xml:space="preserve">        Trade Payables</t>
        </is>
      </c>
      <c r="B31" s="19" t="n">
        <v>4820</v>
      </c>
      <c r="C31" s="19" t="n">
        <v>5690</v>
      </c>
      <c r="D31" s="19" t="n">
        <v>6540</v>
      </c>
      <c r="E31" s="19" t="n">
        <v>7010</v>
      </c>
      <c r="F31" s="19" t="n">
        <v>7560</v>
      </c>
      <c r="G31" s="19" t="n">
        <v>8220</v>
      </c>
      <c r="H31" s="19" t="n">
        <v>8980</v>
      </c>
      <c r="I31" s="19" t="n">
        <v>9790</v>
      </c>
      <c r="J31" s="19" t="n">
        <v>10660</v>
      </c>
      <c r="K31" s="19" t="n">
        <v>11600</v>
      </c>
    </row>
    <row r="32">
      <c r="A32" s="9" t="inlineStr">
        <is>
          <t xml:space="preserve">        Short-term Borrowings</t>
        </is>
      </c>
      <c r="B32" s="19" t="n">
        <v>80</v>
      </c>
      <c r="C32" s="19" t="n">
        <v>90</v>
      </c>
      <c r="D32" s="19" t="n">
        <v>80</v>
      </c>
      <c r="E32" s="19" t="n">
        <v>70</v>
      </c>
      <c r="F32" s="19" t="n">
        <v>60</v>
      </c>
      <c r="G32" s="19" t="n">
        <v>50</v>
      </c>
      <c r="H32" s="19" t="n">
        <v>40</v>
      </c>
      <c r="I32" s="19" t="n">
        <v>30</v>
      </c>
      <c r="J32" s="19" t="n">
        <v>20</v>
      </c>
      <c r="K32" s="19" t="n">
        <v>10</v>
      </c>
    </row>
    <row r="33">
      <c r="A33" s="9" t="inlineStr">
        <is>
          <t xml:space="preserve">        Current Maturities of Long-term Debt</t>
        </is>
      </c>
      <c r="B33" s="19" t="n">
        <v>120</v>
      </c>
      <c r="C33" s="19" t="n">
        <v>110</v>
      </c>
      <c r="D33" s="19" t="n">
        <v>100</v>
      </c>
      <c r="E33" s="19" t="n">
        <v>90</v>
      </c>
      <c r="F33" s="19" t="n">
        <v>80</v>
      </c>
      <c r="G33" s="19" t="n">
        <v>70</v>
      </c>
      <c r="H33" s="19" t="n">
        <v>60</v>
      </c>
      <c r="I33" s="19" t="n">
        <v>50</v>
      </c>
      <c r="J33" s="19" t="n">
        <v>40</v>
      </c>
      <c r="K33" s="19" t="n">
        <v>30</v>
      </c>
    </row>
    <row r="34">
      <c r="A34" s="9" t="inlineStr">
        <is>
          <t xml:space="preserve">        Provisions (Current)</t>
        </is>
      </c>
      <c r="B34" s="19" t="n">
        <v>640</v>
      </c>
      <c r="C34" s="19" t="n">
        <v>720</v>
      </c>
      <c r="D34" s="19" t="n">
        <v>810</v>
      </c>
      <c r="E34" s="19" t="n">
        <v>890</v>
      </c>
      <c r="F34" s="19" t="n">
        <v>970</v>
      </c>
      <c r="G34" s="19" t="n">
        <v>1060</v>
      </c>
      <c r="H34" s="19" t="n">
        <v>1160</v>
      </c>
      <c r="I34" s="19" t="n">
        <v>1270</v>
      </c>
      <c r="J34" s="19" t="n">
        <v>1390</v>
      </c>
      <c r="K34" s="19" t="n">
        <v>1520</v>
      </c>
    </row>
    <row r="35">
      <c r="A35" s="9" t="inlineStr">
        <is>
          <t xml:space="preserve">        Other Current Liabilities &amp; Advances</t>
        </is>
      </c>
      <c r="B35" s="19" t="n">
        <v>2180</v>
      </c>
      <c r="C35" s="19" t="n">
        <v>2510</v>
      </c>
      <c r="D35" s="19" t="n">
        <v>2890</v>
      </c>
      <c r="E35" s="19" t="n">
        <v>3130</v>
      </c>
      <c r="F35" s="19" t="n">
        <v>3380</v>
      </c>
      <c r="G35" s="19" t="n">
        <v>3670</v>
      </c>
      <c r="H35" s="19" t="n">
        <v>3990</v>
      </c>
      <c r="I35" s="19" t="n">
        <v>4330</v>
      </c>
      <c r="J35" s="19" t="n">
        <v>4700</v>
      </c>
      <c r="K35" s="19" t="n">
        <v>5100</v>
      </c>
    </row>
    <row r="36">
      <c r="A36" s="11" t="inlineStr">
        <is>
          <t xml:space="preserve">  TOTAL CURRENT LIABILITIES</t>
        </is>
      </c>
      <c r="B36" s="12" t="n">
        <v>7840</v>
      </c>
      <c r="C36" s="12" t="n">
        <v>9120</v>
      </c>
      <c r="D36" s="12" t="n">
        <v>10420</v>
      </c>
      <c r="E36" s="12" t="n">
        <v>11190</v>
      </c>
      <c r="F36" s="12" t="n">
        <v>12050</v>
      </c>
      <c r="G36" s="12" t="n">
        <v>13070</v>
      </c>
      <c r="H36" s="12" t="n">
        <v>14230</v>
      </c>
      <c r="I36" s="12" t="n">
        <v>15470</v>
      </c>
      <c r="J36" s="12" t="n">
        <v>16810</v>
      </c>
      <c r="K36" s="12" t="n">
        <v>18260</v>
      </c>
    </row>
    <row r="38">
      <c r="A38" s="6" t="inlineStr">
        <is>
          <t xml:space="preserve">  Non-Current Liabilities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3" t="n"/>
    </row>
    <row r="39">
      <c r="A39" s="9" t="inlineStr">
        <is>
          <t xml:space="preserve">        Long-term Borrowings</t>
        </is>
      </c>
      <c r="B39" s="19" t="n">
        <v>380</v>
      </c>
      <c r="C39" s="19" t="n">
        <v>330</v>
      </c>
      <c r="D39" s="19" t="n">
        <v>290</v>
      </c>
      <c r="E39" s="19" t="n">
        <v>250</v>
      </c>
      <c r="F39" s="19" t="n">
        <v>210</v>
      </c>
      <c r="G39" s="19" t="n">
        <v>170</v>
      </c>
      <c r="H39" s="19" t="n">
        <v>130</v>
      </c>
      <c r="I39" s="19" t="n">
        <v>90</v>
      </c>
      <c r="J39" s="19" t="n">
        <v>60</v>
      </c>
      <c r="K39" s="19" t="n">
        <v>30</v>
      </c>
    </row>
    <row r="40">
      <c r="A40" s="9" t="inlineStr">
        <is>
          <t xml:space="preserve">        Deferred Tax Liabilities (Net)</t>
        </is>
      </c>
      <c r="B40" s="19" t="n">
        <v>920</v>
      </c>
      <c r="C40" s="19" t="n">
        <v>1010</v>
      </c>
      <c r="D40" s="19" t="n">
        <v>1080</v>
      </c>
      <c r="E40" s="19" t="n">
        <v>1180</v>
      </c>
      <c r="F40" s="19" t="n">
        <v>1240</v>
      </c>
      <c r="G40" s="19" t="n">
        <v>1290</v>
      </c>
      <c r="H40" s="19" t="n">
        <v>1340</v>
      </c>
      <c r="I40" s="19" t="n">
        <v>1390</v>
      </c>
      <c r="J40" s="19" t="n">
        <v>1440</v>
      </c>
      <c r="K40" s="19" t="n">
        <v>1490</v>
      </c>
    </row>
    <row r="41">
      <c r="A41" s="9" t="inlineStr">
        <is>
          <t xml:space="preserve">        Provisions (Non-Current)</t>
        </is>
      </c>
      <c r="B41" s="19" t="n">
        <v>680</v>
      </c>
      <c r="C41" s="19" t="n">
        <v>760</v>
      </c>
      <c r="D41" s="19" t="n">
        <v>840</v>
      </c>
      <c r="E41" s="19" t="n">
        <v>920</v>
      </c>
      <c r="F41" s="19" t="n">
        <v>990</v>
      </c>
      <c r="G41" s="19" t="n">
        <v>1070</v>
      </c>
      <c r="H41" s="19" t="n">
        <v>1160</v>
      </c>
      <c r="I41" s="19" t="n">
        <v>1260</v>
      </c>
      <c r="J41" s="19" t="n">
        <v>1370</v>
      </c>
      <c r="K41" s="19" t="n">
        <v>1490</v>
      </c>
    </row>
    <row r="42">
      <c r="A42" s="9" t="inlineStr">
        <is>
          <t xml:space="preserve">        Lease Liabilities (Non-Current)</t>
        </is>
      </c>
      <c r="B42" s="19" t="n">
        <v>780</v>
      </c>
      <c r="C42" s="19" t="n">
        <v>840</v>
      </c>
      <c r="D42" s="19" t="n">
        <v>950</v>
      </c>
      <c r="E42" s="19" t="n">
        <v>1010</v>
      </c>
      <c r="F42" s="19" t="n">
        <v>1060</v>
      </c>
      <c r="G42" s="19" t="n">
        <v>1120</v>
      </c>
      <c r="H42" s="19" t="n">
        <v>1190</v>
      </c>
      <c r="I42" s="19" t="n">
        <v>1260</v>
      </c>
      <c r="J42" s="19" t="n">
        <v>1340</v>
      </c>
      <c r="K42" s="19" t="n">
        <v>1420</v>
      </c>
    </row>
    <row r="43">
      <c r="A43" s="9" t="inlineStr">
        <is>
          <t xml:space="preserve">        Other Non-Current Liabilities</t>
        </is>
      </c>
      <c r="B43" s="19" t="n">
        <v>540</v>
      </c>
      <c r="C43" s="19" t="n">
        <v>610</v>
      </c>
      <c r="D43" s="19" t="n">
        <v>680</v>
      </c>
      <c r="E43" s="19" t="n">
        <v>750</v>
      </c>
      <c r="F43" s="19" t="n">
        <v>820</v>
      </c>
      <c r="G43" s="19" t="n">
        <v>900</v>
      </c>
      <c r="H43" s="19" t="n">
        <v>990</v>
      </c>
      <c r="I43" s="19" t="n">
        <v>1090</v>
      </c>
      <c r="J43" s="19" t="n">
        <v>1200</v>
      </c>
      <c r="K43" s="19" t="n">
        <v>1320</v>
      </c>
    </row>
    <row r="44">
      <c r="A44" s="11" t="inlineStr">
        <is>
          <t xml:space="preserve">  TOTAL NON-CURRENT LIABILITIES</t>
        </is>
      </c>
      <c r="B44" s="12" t="n">
        <v>3300</v>
      </c>
      <c r="C44" s="12" t="n">
        <v>3550</v>
      </c>
      <c r="D44" s="12" t="n">
        <v>3840</v>
      </c>
      <c r="E44" s="12" t="n">
        <v>4110</v>
      </c>
      <c r="F44" s="12" t="n">
        <v>4320</v>
      </c>
      <c r="G44" s="12" t="n">
        <v>4550</v>
      </c>
      <c r="H44" s="12" t="n">
        <v>4810</v>
      </c>
      <c r="I44" s="12" t="n">
        <v>5090</v>
      </c>
      <c r="J44" s="12" t="n">
        <v>5410</v>
      </c>
      <c r="K44" s="12" t="n">
        <v>5750</v>
      </c>
    </row>
    <row r="46">
      <c r="A46" s="11" t="inlineStr">
        <is>
          <t>TOTAL LIABILITIES</t>
        </is>
      </c>
      <c r="B46" s="12" t="n">
        <v>11140</v>
      </c>
      <c r="C46" s="12" t="n">
        <v>12670</v>
      </c>
      <c r="D46" s="12" t="n">
        <v>14260</v>
      </c>
      <c r="E46" s="12" t="n">
        <v>15300</v>
      </c>
      <c r="F46" s="12" t="n">
        <v>16370</v>
      </c>
      <c r="G46" s="12" t="n">
        <v>17620</v>
      </c>
      <c r="H46" s="12" t="n">
        <v>19040</v>
      </c>
      <c r="I46" s="12" t="n">
        <v>20560</v>
      </c>
      <c r="J46" s="12" t="n">
        <v>22220</v>
      </c>
      <c r="K46" s="12" t="n">
        <v>24010</v>
      </c>
    </row>
    <row r="49">
      <c r="A49" s="5" t="inlineStr">
        <is>
          <t>SHAREHOLDERS' EQUITY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3" t="n"/>
    </row>
    <row r="50">
      <c r="A50" s="9" t="inlineStr">
        <is>
          <t xml:space="preserve">        Share Capital (₹1 face value)</t>
        </is>
      </c>
      <c r="B50" s="19" t="n">
        <v>1254</v>
      </c>
      <c r="C50" s="19" t="n">
        <v>1254</v>
      </c>
      <c r="D50" s="19" t="n">
        <v>1255</v>
      </c>
      <c r="E50" s="19" t="n">
        <v>1256</v>
      </c>
      <c r="F50" s="19" t="n">
        <v>1257</v>
      </c>
      <c r="G50" s="19" t="n">
        <v>1257</v>
      </c>
      <c r="H50" s="19" t="n">
        <v>1257</v>
      </c>
      <c r="I50" s="19" t="n">
        <v>1257</v>
      </c>
      <c r="J50" s="19" t="n">
        <v>1257</v>
      </c>
      <c r="K50" s="19" t="n">
        <v>1257</v>
      </c>
    </row>
    <row r="51">
      <c r="A51" s="9" t="inlineStr">
        <is>
          <t xml:space="preserve">        Securities Premium</t>
        </is>
      </c>
      <c r="B51" s="19" t="n">
        <v>9452</v>
      </c>
      <c r="C51" s="19" t="n">
        <v>9528</v>
      </c>
      <c r="D51" s="19" t="n">
        <v>9650</v>
      </c>
      <c r="E51" s="19" t="n">
        <v>9780</v>
      </c>
      <c r="F51" s="19" t="n">
        <v>9890</v>
      </c>
      <c r="G51" s="19" t="n">
        <v>9920</v>
      </c>
      <c r="H51" s="19" t="n">
        <v>9940</v>
      </c>
      <c r="I51" s="19" t="n">
        <v>9960</v>
      </c>
      <c r="J51" s="19" t="n">
        <v>9980</v>
      </c>
      <c r="K51" s="19" t="n">
        <v>10000</v>
      </c>
    </row>
    <row r="52">
      <c r="A52" s="9" t="inlineStr">
        <is>
          <t xml:space="preserve">        General Reserve</t>
        </is>
      </c>
      <c r="B52" s="19" t="n">
        <v>6500</v>
      </c>
      <c r="C52" s="19" t="n">
        <v>7200</v>
      </c>
      <c r="D52" s="19" t="n">
        <v>7900</v>
      </c>
      <c r="E52" s="19" t="n">
        <v>8700</v>
      </c>
      <c r="F52" s="19" t="n">
        <v>9600</v>
      </c>
      <c r="G52" s="19" t="n">
        <v>10600</v>
      </c>
      <c r="H52" s="19" t="n">
        <v>11700</v>
      </c>
      <c r="I52" s="19" t="n">
        <v>12900</v>
      </c>
      <c r="J52" s="19" t="n">
        <v>14200</v>
      </c>
      <c r="K52" s="19" t="n">
        <v>15600</v>
      </c>
    </row>
    <row r="53">
      <c r="A53" s="9" t="inlineStr">
        <is>
          <t xml:space="preserve">        Retained Earnings (Surplus)</t>
        </is>
      </c>
      <c r="B53" s="19" t="n">
        <v>22640</v>
      </c>
      <c r="C53" s="19" t="n">
        <v>26910</v>
      </c>
      <c r="D53" s="19" t="n">
        <v>33150</v>
      </c>
      <c r="E53" s="19" t="n">
        <v>38120</v>
      </c>
      <c r="F53" s="19" t="n">
        <v>43310</v>
      </c>
      <c r="G53" s="19" t="n">
        <v>50180</v>
      </c>
      <c r="H53" s="19" t="n">
        <v>57580</v>
      </c>
      <c r="I53" s="19" t="n">
        <v>65440</v>
      </c>
      <c r="J53" s="19" t="n">
        <v>73320</v>
      </c>
      <c r="K53" s="19" t="n">
        <v>81460</v>
      </c>
    </row>
    <row r="54">
      <c r="A54" s="9" t="inlineStr">
        <is>
          <t xml:space="preserve">        Other Comprehensive Income</t>
        </is>
      </c>
      <c r="B54" s="19" t="n">
        <v>380</v>
      </c>
      <c r="C54" s="19" t="n">
        <v>420</v>
      </c>
      <c r="D54" s="19" t="n">
        <v>480</v>
      </c>
      <c r="E54" s="19" t="n">
        <v>520</v>
      </c>
      <c r="F54" s="19" t="n">
        <v>560</v>
      </c>
      <c r="G54" s="19" t="n">
        <v>600</v>
      </c>
      <c r="H54" s="19" t="n">
        <v>640</v>
      </c>
      <c r="I54" s="19" t="n">
        <v>680</v>
      </c>
      <c r="J54" s="19" t="n">
        <v>720</v>
      </c>
      <c r="K54" s="19" t="n">
        <v>760</v>
      </c>
    </row>
    <row r="55">
      <c r="A55" s="9" t="inlineStr">
        <is>
          <t xml:space="preserve">        Non-Controlling Interests</t>
        </is>
      </c>
      <c r="B55" s="19" t="n">
        <v>1560</v>
      </c>
      <c r="C55" s="19" t="n">
        <v>1680</v>
      </c>
      <c r="D55" s="19" t="n">
        <v>1820</v>
      </c>
      <c r="E55" s="19" t="n">
        <v>1980</v>
      </c>
      <c r="F55" s="19" t="n">
        <v>2120</v>
      </c>
      <c r="G55" s="19" t="n">
        <v>2270</v>
      </c>
      <c r="H55" s="19" t="n">
        <v>2440</v>
      </c>
      <c r="I55" s="19" t="n">
        <v>2630</v>
      </c>
      <c r="J55" s="19" t="n">
        <v>2840</v>
      </c>
      <c r="K55" s="19" t="n">
        <v>3070</v>
      </c>
    </row>
    <row r="56">
      <c r="A56" s="15" t="inlineStr">
        <is>
          <t>TOTAL SHAREHOLDERS' EQUITY</t>
        </is>
      </c>
      <c r="B56" s="16" t="n">
        <v>41786</v>
      </c>
      <c r="C56" s="16" t="n">
        <v>46992</v>
      </c>
      <c r="D56" s="16" t="n">
        <v>54255</v>
      </c>
      <c r="E56" s="16" t="n">
        <v>60356</v>
      </c>
      <c r="F56" s="16" t="n">
        <v>66737</v>
      </c>
      <c r="G56" s="16" t="n">
        <v>74827</v>
      </c>
      <c r="H56" s="16" t="n">
        <v>83557</v>
      </c>
      <c r="I56" s="16" t="n">
        <v>92867</v>
      </c>
      <c r="J56" s="16" t="n">
        <v>102317</v>
      </c>
      <c r="K56" s="16" t="n">
        <v>112147</v>
      </c>
    </row>
    <row r="58">
      <c r="A58" s="15" t="inlineStr">
        <is>
          <t>TOTAL LIABILITIES + EQUITY</t>
        </is>
      </c>
      <c r="B58" s="16" t="n">
        <v>52926</v>
      </c>
      <c r="C58" s="16" t="n">
        <v>59662</v>
      </c>
      <c r="D58" s="16" t="n">
        <v>68515</v>
      </c>
      <c r="E58" s="16" t="n">
        <v>75656</v>
      </c>
      <c r="F58" s="16" t="n">
        <v>83107</v>
      </c>
      <c r="G58" s="16" t="n">
        <v>92447</v>
      </c>
      <c r="H58" s="16" t="n">
        <v>102597</v>
      </c>
      <c r="I58" s="16" t="n">
        <v>113427</v>
      </c>
      <c r="J58" s="16" t="n">
        <v>124537</v>
      </c>
      <c r="K58" s="16" t="n">
        <v>136157</v>
      </c>
    </row>
    <row r="60">
      <c r="A60" s="26" t="inlineStr">
        <is>
          <t>BALANCE CHECK (Assets – L&amp;E = 0)</t>
        </is>
      </c>
      <c r="B60" s="12" t="n">
        <v>-3644</v>
      </c>
      <c r="C60" s="12" t="n">
        <v>-3121</v>
      </c>
      <c r="D60" s="12" t="n">
        <v>936</v>
      </c>
      <c r="E60" s="12" t="n">
        <v>5815</v>
      </c>
      <c r="F60" s="12" t="n">
        <v>9370</v>
      </c>
      <c r="G60" s="12" t="n">
        <v>12012</v>
      </c>
      <c r="H60" s="12" t="n">
        <v>15712</v>
      </c>
      <c r="I60" s="12" t="n">
        <v>19152</v>
      </c>
      <c r="J60" s="12" t="n">
        <v>24012</v>
      </c>
      <c r="K60" s="12" t="n">
        <v>30898</v>
      </c>
    </row>
    <row r="63">
      <c r="A63" s="5" t="inlineStr">
        <is>
          <t>KEY BALANCE SHEET METRICS</t>
        </is>
      </c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3" t="n"/>
    </row>
    <row r="64">
      <c r="A64" s="9" t="inlineStr">
        <is>
          <t xml:space="preserve">    Total Borrowings (Debt)</t>
        </is>
      </c>
      <c r="B64" s="19" t="n">
        <v>580</v>
      </c>
      <c r="C64" s="19" t="n">
        <v>530</v>
      </c>
      <c r="D64" s="19" t="n">
        <v>470</v>
      </c>
      <c r="E64" s="19" t="n">
        <v>410</v>
      </c>
      <c r="F64" s="19" t="n">
        <v>350</v>
      </c>
      <c r="G64" s="19" t="n">
        <v>290</v>
      </c>
      <c r="H64" s="19" t="n">
        <v>230</v>
      </c>
      <c r="I64" s="19" t="n">
        <v>170</v>
      </c>
      <c r="J64" s="19" t="n">
        <v>120</v>
      </c>
      <c r="K64" s="19" t="n">
        <v>70</v>
      </c>
    </row>
    <row r="65">
      <c r="A65" s="9" t="inlineStr">
        <is>
          <t xml:space="preserve">    Cash + Current Investments</t>
        </is>
      </c>
      <c r="B65" s="19" t="n">
        <v>16152</v>
      </c>
      <c r="C65" s="19" t="n">
        <v>20901</v>
      </c>
      <c r="D65" s="19" t="n">
        <v>31421</v>
      </c>
      <c r="E65" s="19" t="n">
        <v>41641</v>
      </c>
      <c r="F65" s="19" t="n">
        <v>51517</v>
      </c>
      <c r="G65" s="19" t="n">
        <v>61789</v>
      </c>
      <c r="H65" s="19" t="n">
        <v>73789</v>
      </c>
      <c r="I65" s="19" t="n">
        <v>86109</v>
      </c>
      <c r="J65" s="19" t="n">
        <v>100109</v>
      </c>
      <c r="K65" s="19" t="n">
        <v>116535</v>
      </c>
    </row>
    <row r="66">
      <c r="A66" s="15" t="inlineStr">
        <is>
          <t>NET CASH POSITION (+) / NET DEBT (-)</t>
        </is>
      </c>
      <c r="B66" s="16" t="n">
        <v>15572</v>
      </c>
      <c r="C66" s="16" t="n">
        <v>20371</v>
      </c>
      <c r="D66" s="16" t="n">
        <v>30951</v>
      </c>
      <c r="E66" s="16" t="n">
        <v>41231</v>
      </c>
      <c r="F66" s="16" t="n">
        <v>51167</v>
      </c>
      <c r="G66" s="16" t="n">
        <v>61499</v>
      </c>
      <c r="H66" s="16" t="n">
        <v>73559</v>
      </c>
      <c r="I66" s="16" t="n">
        <v>85939</v>
      </c>
      <c r="J66" s="16" t="n">
        <v>99989</v>
      </c>
      <c r="K66" s="16" t="n">
        <v>116465</v>
      </c>
    </row>
    <row r="67">
      <c r="A67" s="13" t="inlineStr">
        <is>
          <t xml:space="preserve">    Debt / Equity Ratio</t>
        </is>
      </c>
      <c r="B67" s="27" t="n">
        <v>0.01</v>
      </c>
      <c r="C67" s="27" t="n">
        <v>0.01</v>
      </c>
      <c r="D67" s="27" t="n">
        <v>0.01</v>
      </c>
      <c r="E67" s="27" t="n">
        <v>0.01</v>
      </c>
      <c r="F67" s="27" t="n">
        <v>0.01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0</v>
      </c>
    </row>
    <row r="68">
      <c r="A68" s="13" t="inlineStr">
        <is>
          <t xml:space="preserve">    Current Ratio</t>
        </is>
      </c>
      <c r="B68" s="27" t="n">
        <v>3.12</v>
      </c>
      <c r="C68" s="27" t="n">
        <v>3.36</v>
      </c>
      <c r="D68" s="27" t="n">
        <v>4.05</v>
      </c>
      <c r="E68" s="27" t="n">
        <v>4.77</v>
      </c>
      <c r="F68" s="27" t="n">
        <v>5.3</v>
      </c>
      <c r="G68" s="27" t="n">
        <v>5.74</v>
      </c>
      <c r="H68" s="27" t="n">
        <v>6.19</v>
      </c>
      <c r="I68" s="27" t="n">
        <v>6.56</v>
      </c>
      <c r="J68" s="27" t="n">
        <v>6.94</v>
      </c>
      <c r="K68" s="27" t="n">
        <v>7.36</v>
      </c>
    </row>
    <row r="69">
      <c r="A69" s="13" t="inlineStr">
        <is>
          <t xml:space="preserve">    ROCE % (EBIT / Avg Assets proxy)</t>
        </is>
      </c>
      <c r="B69" s="14" t="n">
        <v>0.299</v>
      </c>
      <c r="C69" s="14" t="n">
        <v>0.318</v>
      </c>
      <c r="D69" s="14" t="n">
        <v>0.296</v>
      </c>
      <c r="E69" s="14" t="n">
        <v>0.271</v>
      </c>
      <c r="F69" s="14" t="n">
        <v>0.264</v>
      </c>
      <c r="G69" s="14" t="n">
        <v>0.26</v>
      </c>
      <c r="H69" s="14" t="n">
        <v>0.252</v>
      </c>
      <c r="I69" s="14" t="n">
        <v>0.249</v>
      </c>
      <c r="J69" s="14" t="n">
        <v>0.245</v>
      </c>
      <c r="K69" s="14" t="n">
        <v>0.241</v>
      </c>
    </row>
    <row r="70">
      <c r="A70" s="13" t="inlineStr">
        <is>
          <t xml:space="preserve">    ROE % (PAT / Total Equity)</t>
        </is>
      </c>
      <c r="B70" s="14" t="n">
        <v>0.312</v>
      </c>
      <c r="C70" s="14" t="n">
        <v>0.324</v>
      </c>
      <c r="D70" s="14" t="n">
        <v>0.346</v>
      </c>
      <c r="E70" s="14" t="n">
        <v>0.33</v>
      </c>
      <c r="F70" s="14" t="n">
        <v>0.319</v>
      </c>
      <c r="G70" s="14" t="n">
        <v>0.309</v>
      </c>
      <c r="H70" s="14" t="n">
        <v>0.303</v>
      </c>
      <c r="I70" s="14" t="n">
        <v>0.299</v>
      </c>
      <c r="J70" s="14" t="n">
        <v>0.299</v>
      </c>
      <c r="K70" s="14" t="n">
        <v>0.301</v>
      </c>
    </row>
    <row r="71">
      <c r="A71" s="13" t="inlineStr">
        <is>
          <t xml:space="preserve">    Book Value Per Share (₹)</t>
        </is>
      </c>
      <c r="B71" s="28" t="n">
        <v>3.3</v>
      </c>
      <c r="C71" s="28" t="n">
        <v>3.7</v>
      </c>
      <c r="D71" s="28" t="n">
        <v>4.3</v>
      </c>
      <c r="E71" s="28" t="n">
        <v>4.8</v>
      </c>
      <c r="F71" s="28" t="n">
        <v>5.3</v>
      </c>
      <c r="G71" s="28" t="n">
        <v>6</v>
      </c>
      <c r="H71" s="28" t="n">
        <v>6.6</v>
      </c>
      <c r="I71" s="28" t="n">
        <v>7.4</v>
      </c>
      <c r="J71" s="28" t="n">
        <v>8.1</v>
      </c>
      <c r="K71" s="28" t="n">
        <v>8.9</v>
      </c>
    </row>
  </sheetData>
  <mergeCells count="9">
    <mergeCell ref="A30:L30"/>
    <mergeCell ref="A38:L38"/>
    <mergeCell ref="A29:L29"/>
    <mergeCell ref="A49:L49"/>
    <mergeCell ref="A63:L63"/>
    <mergeCell ref="A1:L1"/>
    <mergeCell ref="A13:L13"/>
    <mergeCell ref="A3:L3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ITC LIMITED — SCENARIO ANALYSIS  (₹ Crore, FY26E–FY30E)</t>
        </is>
      </c>
      <c r="B1" s="2" t="n"/>
      <c r="C1" s="2" t="n"/>
      <c r="D1" s="3" t="n"/>
    </row>
    <row r="2">
      <c r="A2" s="4" t="inlineStr">
        <is>
          <t>Assumption / Metric</t>
        </is>
      </c>
      <c r="B2" s="4" t="inlineStr">
        <is>
          <t>BULL CASE</t>
        </is>
      </c>
      <c r="C2" s="4" t="inlineStr">
        <is>
          <t>BASE CASE</t>
        </is>
      </c>
      <c r="D2" s="4" t="inlineStr">
        <is>
          <t>BEAR CASE</t>
        </is>
      </c>
    </row>
    <row r="3">
      <c r="A3" s="5" t="inlineStr">
        <is>
          <t>REVENUE GROWTH ASSUMPTIONS (FY25A → FY30E CAGR)</t>
        </is>
      </c>
      <c r="B3" s="2" t="n"/>
      <c r="C3" s="2" t="n"/>
      <c r="D3" s="3" t="n"/>
    </row>
    <row r="4">
      <c r="A4" s="7" t="inlineStr">
        <is>
          <t xml:space="preserve">  Cigarettes Net Revenue CAGR</t>
        </is>
      </c>
      <c r="B4" s="29" t="n">
        <v>0.09</v>
      </c>
      <c r="C4" s="29" t="n">
        <v>0.068</v>
      </c>
      <c r="D4" s="29" t="n">
        <v>0.025</v>
      </c>
    </row>
    <row r="5">
      <c r="A5" s="7" t="inlineStr">
        <is>
          <t xml:space="preserve">  FMCG-Others Revenue CAGR</t>
        </is>
      </c>
      <c r="B5" s="29" t="n">
        <v>0.2</v>
      </c>
      <c r="C5" s="29" t="n">
        <v>0.14</v>
      </c>
      <c r="D5" s="29" t="n">
        <v>0.08</v>
      </c>
    </row>
    <row r="6">
      <c r="A6" s="7" t="inlineStr">
        <is>
          <t xml:space="preserve">  Agribusiness CAGR</t>
        </is>
      </c>
      <c r="B6" s="29" t="n">
        <v>0.12</v>
      </c>
      <c r="C6" s="29" t="n">
        <v>0.09</v>
      </c>
      <c r="D6" s="29" t="n">
        <v>0.05</v>
      </c>
    </row>
    <row r="7">
      <c r="A7" s="7" t="inlineStr">
        <is>
          <t xml:space="preserve">  Paperboards &amp; Paper CAGR</t>
        </is>
      </c>
      <c r="B7" s="29" t="n">
        <v>0.1</v>
      </c>
      <c r="C7" s="29" t="n">
        <v>0.068</v>
      </c>
      <c r="D7" s="29" t="n">
        <v>0.02</v>
      </c>
    </row>
    <row r="8">
      <c r="A8" s="7" t="inlineStr">
        <is>
          <t xml:space="preserve">  ITC Infotech CAGR</t>
        </is>
      </c>
      <c r="B8" s="29" t="n">
        <v>0.15</v>
      </c>
      <c r="C8" s="29" t="n">
        <v>0.12</v>
      </c>
      <c r="D8" s="29" t="n">
        <v>0.07000000000000001</v>
      </c>
    </row>
    <row r="9">
      <c r="A9" s="15" t="inlineStr">
        <is>
          <t>TOTAL NET REVENUE CAGR</t>
        </is>
      </c>
      <c r="B9" s="30" t="n">
        <v>0.131</v>
      </c>
      <c r="C9" s="30" t="n">
        <v>0.09300000000000001</v>
      </c>
      <c r="D9" s="30" t="n">
        <v>0.048</v>
      </c>
    </row>
    <row r="11">
      <c r="A11" s="5" t="inlineStr">
        <is>
          <t>MARGIN ASSUMPTIONS (FY30E)</t>
        </is>
      </c>
      <c r="B11" s="2" t="n"/>
      <c r="C11" s="2" t="n"/>
      <c r="D11" s="3" t="n"/>
    </row>
    <row r="12">
      <c r="A12" s="7" t="inlineStr">
        <is>
          <t xml:space="preserve">  Cigarettes EBIT Margin</t>
        </is>
      </c>
      <c r="B12" s="29" t="n">
        <v>0.78</v>
      </c>
      <c r="C12" s="29" t="n">
        <v>0.745</v>
      </c>
      <c r="D12" s="29" t="n">
        <v>0.67</v>
      </c>
    </row>
    <row r="13">
      <c r="A13" s="7" t="inlineStr">
        <is>
          <t xml:space="preserve">  FMCG-Others EBIT Margin</t>
        </is>
      </c>
      <c r="B13" s="29" t="n">
        <v>0.11</v>
      </c>
      <c r="C13" s="29" t="n">
        <v>0.07000000000000001</v>
      </c>
      <c r="D13" s="29" t="n">
        <v>0.03</v>
      </c>
    </row>
    <row r="14">
      <c r="A14" s="7" t="inlineStr">
        <is>
          <t xml:space="preserve">  Consolidated EBITDA Margin</t>
        </is>
      </c>
      <c r="B14" s="29" t="n">
        <v>0.42</v>
      </c>
      <c r="C14" s="29" t="n">
        <v>0.365</v>
      </c>
      <c r="D14" s="29" t="n">
        <v>0.29</v>
      </c>
    </row>
    <row r="15">
      <c r="A15" s="7" t="inlineStr">
        <is>
          <t xml:space="preserve">  Net Profit Margin</t>
        </is>
      </c>
      <c r="B15" s="29" t="n">
        <v>0.305</v>
      </c>
      <c r="C15" s="29" t="n">
        <v>0.265</v>
      </c>
      <c r="D15" s="29" t="n">
        <v>0.2</v>
      </c>
    </row>
    <row r="17">
      <c r="A17" s="5" t="inlineStr">
        <is>
          <t>OTHER KEY ASSUMPTIONS (FY26E–FY30E Average)</t>
        </is>
      </c>
      <c r="B17" s="2" t="n"/>
      <c r="C17" s="2" t="n"/>
      <c r="D17" s="3" t="n"/>
    </row>
    <row r="18">
      <c r="A18" s="7" t="inlineStr">
        <is>
          <t xml:space="preserve">  CapEx as % of Net Revenue</t>
        </is>
      </c>
      <c r="B18" s="29" t="n">
        <v>0.07000000000000001</v>
      </c>
      <c r="C18" s="29" t="n">
        <v>0.08</v>
      </c>
      <c r="D18" s="29" t="n">
        <v>0.095</v>
      </c>
    </row>
    <row r="19">
      <c r="A19" s="7" t="inlineStr">
        <is>
          <t xml:space="preserve">  Dividend Payout Ratio</t>
        </is>
      </c>
      <c r="B19" s="29" t="n">
        <v>0.92</v>
      </c>
      <c r="C19" s="29" t="n">
        <v>0.85</v>
      </c>
      <c r="D19" s="29" t="n">
        <v>0.78</v>
      </c>
    </row>
    <row r="20">
      <c r="A20" s="7" t="inlineStr">
        <is>
          <t xml:space="preserve">  Effective Tax Rate</t>
        </is>
      </c>
      <c r="B20" s="29" t="n">
        <v>0.235</v>
      </c>
      <c r="C20" s="29" t="n">
        <v>0.245</v>
      </c>
      <c r="D20" s="29" t="n">
        <v>0.26</v>
      </c>
    </row>
    <row r="21">
      <c r="A21" s="7" t="inlineStr">
        <is>
          <t xml:space="preserve">  D&amp;A as % of Net Revenue</t>
        </is>
      </c>
      <c r="B21" s="29" t="n">
        <v>0.04</v>
      </c>
      <c r="C21" s="29" t="n">
        <v>0.04</v>
      </c>
      <c r="D21" s="29" t="n">
        <v>0.04</v>
      </c>
    </row>
    <row r="23">
      <c r="A23" s="5" t="inlineStr">
        <is>
          <t>FY30E OUTPUT METRICS</t>
        </is>
      </c>
      <c r="B23" s="2" t="n"/>
      <c r="C23" s="2" t="n"/>
      <c r="D23" s="3" t="n"/>
    </row>
    <row r="24">
      <c r="A24" s="15" t="inlineStr">
        <is>
          <t>Net Revenue (₹ Cr)</t>
        </is>
      </c>
      <c r="B24" s="31" t="n">
        <v>78400</v>
      </c>
      <c r="C24" s="31" t="n">
        <v>67200</v>
      </c>
      <c r="D24" s="31" t="n">
        <v>54200</v>
      </c>
    </row>
    <row r="25">
      <c r="A25" s="15" t="inlineStr">
        <is>
          <t>EBITDA (₹ Cr)</t>
        </is>
      </c>
      <c r="B25" s="31" t="n">
        <v>32930</v>
      </c>
      <c r="C25" s="31" t="n">
        <v>24523</v>
      </c>
      <c r="D25" s="31" t="n">
        <v>15718</v>
      </c>
    </row>
    <row r="26">
      <c r="A26" s="15" t="inlineStr">
        <is>
          <t>EBITDA Margin %</t>
        </is>
      </c>
      <c r="B26" s="30" t="n">
        <v>0.42</v>
      </c>
      <c r="C26" s="30" t="n">
        <v>0.365</v>
      </c>
      <c r="D26" s="30" t="n">
        <v>0.29</v>
      </c>
    </row>
    <row r="27">
      <c r="A27" s="15" t="inlineStr">
        <is>
          <t>PAT – Continuing Ops (₹ Cr)</t>
        </is>
      </c>
      <c r="B27" s="31" t="n">
        <v>23900</v>
      </c>
      <c r="C27" s="31" t="n">
        <v>17800</v>
      </c>
      <c r="D27" s="31" t="n">
        <v>10840</v>
      </c>
    </row>
    <row r="28">
      <c r="A28" s="15" t="inlineStr">
        <is>
          <t>Basic EPS (₹)</t>
        </is>
      </c>
      <c r="B28" s="32" t="n">
        <v>19.01</v>
      </c>
      <c r="C28" s="32" t="n">
        <v>14.16</v>
      </c>
      <c r="D28" s="32" t="n">
        <v>8.630000000000001</v>
      </c>
    </row>
    <row r="29">
      <c r="A29" s="15" t="inlineStr">
        <is>
          <t>Free Cash Flow (₹ Cr)</t>
        </is>
      </c>
      <c r="B29" s="31" t="n">
        <v>18930</v>
      </c>
      <c r="C29" s="31" t="n">
        <v>15700</v>
      </c>
      <c r="D29" s="31" t="n">
        <v>10260</v>
      </c>
    </row>
    <row r="30">
      <c r="A30" s="15" t="inlineStr">
        <is>
          <t>Dividend Per Share (₹)</t>
        </is>
      </c>
      <c r="B30" s="32" t="n">
        <v>17.5</v>
      </c>
      <c r="C30" s="32" t="n">
        <v>12</v>
      </c>
      <c r="D30" s="32" t="n">
        <v>6.75</v>
      </c>
    </row>
    <row r="31">
      <c r="A31" s="15" t="inlineStr">
        <is>
          <t>Dividend Yield (at ₹307 CMP)</t>
        </is>
      </c>
      <c r="B31" s="30" t="n">
        <v>0.057</v>
      </c>
      <c r="C31" s="30" t="n">
        <v>0.039</v>
      </c>
      <c r="D31" s="30" t="n">
        <v>0.022</v>
      </c>
    </row>
    <row r="33">
      <c r="A33" s="5" t="inlineStr">
        <is>
          <t>CUMULATIVE FY26E–FY30E (5-YEAR TOTALS)</t>
        </is>
      </c>
      <c r="B33" s="2" t="n"/>
      <c r="C33" s="2" t="n"/>
      <c r="D33" s="3" t="n"/>
    </row>
    <row r="34">
      <c r="A34" s="9" t="inlineStr">
        <is>
          <t>Cumulative PAT (₹ Cr)</t>
        </is>
      </c>
      <c r="B34" s="33" t="n">
        <v>121200</v>
      </c>
      <c r="C34" s="33" t="n">
        <v>102800</v>
      </c>
      <c r="D34" s="33" t="n">
        <v>72400</v>
      </c>
    </row>
    <row r="35">
      <c r="A35" s="9" t="inlineStr">
        <is>
          <t>Cumulative FCF (₹ Cr)</t>
        </is>
      </c>
      <c r="B35" s="33" t="n">
        <v>90100</v>
      </c>
      <c r="C35" s="33" t="n">
        <v>75600</v>
      </c>
      <c r="D35" s="33" t="n">
        <v>47800</v>
      </c>
    </row>
    <row r="36">
      <c r="A36" s="9" t="inlineStr">
        <is>
          <t>Cumulative Dividends (₹ Cr)</t>
        </is>
      </c>
      <c r="B36" s="33" t="n">
        <v>74000</v>
      </c>
      <c r="C36" s="33" t="n">
        <v>63000</v>
      </c>
      <c r="D36" s="33" t="n">
        <v>40200</v>
      </c>
    </row>
    <row r="38">
      <c r="A38" s="5" t="inlineStr">
        <is>
          <t>SCENARIO RATIONALE</t>
        </is>
      </c>
      <c r="B38" s="2" t="n"/>
      <c r="C38" s="2" t="n"/>
      <c r="D38" s="3" t="n"/>
    </row>
    <row r="39" ht="80" customHeight="1">
      <c r="A39" s="34" t="inlineStr">
        <is>
          <t>Bull Case Drivers</t>
        </is>
      </c>
      <c r="B39" s="35" t="inlineStr">
        <is>
          <t>1. Jan 2026 excise duty hike largely absorbed — cigarette vol decline limited to 1–2% p.a.; pricing +8% pa offsets
2. FMCG-Others hits 10%+ EBIT margin by FY28 on scale+premiumisation
3. Paper recovery on import duty protection &amp; e-comm packaging demand
4. ITC Hotels demerger unlocks structural re-rating</t>
        </is>
      </c>
      <c r="C39" s="36" t="inlineStr"/>
    </row>
    <row r="40" ht="80" customHeight="1">
      <c r="A40" s="34" t="inlineStr">
        <is>
          <t>Base Case Drivers</t>
        </is>
      </c>
      <c r="B40" s="35" t="inlineStr"/>
      <c r="C40" s="36" t="inlineStr">
        <is>
          <t>1. Cigarette vol -2 to -3% pa from excise hike; pricing +6-7% offsets volume
2. FMCG-Others margin reaches 7-8% by FY30; gradual scale benefits
3. Agri robust on leaf tobacco exports; paperboards slow recovery
4. ~₹28,000 Cr net cash generating ~₹1,800 Cr incremental other income</t>
        </is>
      </c>
    </row>
    <row r="41" ht="80" customHeight="1">
      <c r="A41" s="34" t="inlineStr">
        <is>
          <t>Bear Case Risks</t>
        </is>
      </c>
      <c r="B41" s="35" t="inlineStr"/>
      <c r="C41" s="36" t="inlineStr">
        <is>
          <t>1. Cigarette vol decline &gt;4% pa; illicit trade surges post-excise hike
2. FMCG-Others margin expansion stalls; HUL/Nestle defend market share aggressively
3. Further excise/GST hike on cigarettes in Union Budget 2027
4. Global recession hits agri exports; INR depreciation pressures input costs</t>
        </is>
      </c>
    </row>
  </sheetData>
  <mergeCells count="7">
    <mergeCell ref="A1:D1"/>
    <mergeCell ref="A17:D17"/>
    <mergeCell ref="A23:D23"/>
    <mergeCell ref="A3:D3"/>
    <mergeCell ref="A38:D38"/>
    <mergeCell ref="A33:D33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1" t="inlineStr">
        <is>
          <t>ITC LIMITED — DCF INPUTS  (₹ Crore)  |  For Task 3 Valuation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Line Item</t>
        </is>
      </c>
      <c r="B2" s="4" t="inlineStr">
        <is>
          <t>FY26E</t>
        </is>
      </c>
      <c r="C2" s="4" t="inlineStr">
        <is>
          <t>FY27E</t>
        </is>
      </c>
      <c r="D2" s="4" t="inlineStr">
        <is>
          <t>FY28E</t>
        </is>
      </c>
      <c r="E2" s="4" t="inlineStr">
        <is>
          <t>FY29E</t>
        </is>
      </c>
      <c r="F2" s="4" t="inlineStr">
        <is>
          <t>FY30E</t>
        </is>
      </c>
      <c r="G2" s="4" t="inlineStr">
        <is>
          <t>Terminal</t>
        </is>
      </c>
    </row>
    <row r="3">
      <c r="A3" s="5" t="inlineStr">
        <is>
          <t>INCOME STATEMENT SUMMARY</t>
        </is>
      </c>
      <c r="B3" s="2" t="n"/>
      <c r="C3" s="2" t="n"/>
      <c r="D3" s="2" t="n"/>
      <c r="E3" s="2" t="n"/>
      <c r="F3" s="2" t="n"/>
      <c r="G3" s="3" t="n"/>
    </row>
    <row r="4">
      <c r="A4" s="9" t="inlineStr">
        <is>
          <t xml:space="preserve">  Net Revenue from Operations</t>
        </is>
      </c>
      <c r="B4" s="33" t="n">
        <v>47310</v>
      </c>
      <c r="C4" s="33" t="n">
        <v>52140</v>
      </c>
      <c r="D4" s="33" t="n">
        <v>57360</v>
      </c>
      <c r="E4" s="33" t="n">
        <v>62100</v>
      </c>
      <c r="F4" s="33" t="n">
        <v>67200</v>
      </c>
      <c r="G4" s="33" t="n">
        <v>67200</v>
      </c>
    </row>
    <row r="5">
      <c r="A5" s="17" t="inlineStr">
        <is>
          <t xml:space="preserve">  EBITDA</t>
        </is>
      </c>
      <c r="B5" s="33" t="n">
        <v>26670</v>
      </c>
      <c r="C5" s="33" t="n">
        <v>29420</v>
      </c>
      <c r="D5" s="33" t="n">
        <v>32500</v>
      </c>
      <c r="E5" s="33" t="n">
        <v>35940</v>
      </c>
      <c r="F5" s="33" t="n">
        <v>39750</v>
      </c>
      <c r="G5" s="33" t="n">
        <v>39750</v>
      </c>
    </row>
    <row r="6">
      <c r="A6" s="9" t="inlineStr">
        <is>
          <t xml:space="preserve">  D&amp;A</t>
        </is>
      </c>
      <c r="B6" s="33" t="n">
        <v>2020</v>
      </c>
      <c r="C6" s="33" t="n">
        <v>2220</v>
      </c>
      <c r="D6" s="33" t="n">
        <v>2300</v>
      </c>
      <c r="E6" s="33" t="n">
        <v>2440</v>
      </c>
      <c r="F6" s="33" t="n">
        <v>2590</v>
      </c>
      <c r="G6" s="33" t="n">
        <v>2590</v>
      </c>
    </row>
    <row r="7">
      <c r="A7" s="22" t="inlineStr">
        <is>
          <t>EBIT</t>
        </is>
      </c>
      <c r="B7" s="37" t="n">
        <v>24650</v>
      </c>
      <c r="C7" s="37" t="n">
        <v>27200</v>
      </c>
      <c r="D7" s="37" t="n">
        <v>30200</v>
      </c>
      <c r="E7" s="37" t="n">
        <v>33500</v>
      </c>
      <c r="F7" s="37" t="n">
        <v>37160</v>
      </c>
      <c r="G7" s="37" t="n">
        <v>37160</v>
      </c>
    </row>
    <row r="8">
      <c r="A8" s="9" t="inlineStr">
        <is>
          <t xml:space="preserve">  Tax Rate %</t>
        </is>
      </c>
      <c r="B8" s="38" t="n">
        <v>0.245</v>
      </c>
      <c r="C8" s="38" t="n">
        <v>0.245</v>
      </c>
      <c r="D8" s="38" t="n">
        <v>0.245</v>
      </c>
      <c r="E8" s="38" t="n">
        <v>0.245</v>
      </c>
      <c r="F8" s="38" t="n">
        <v>0.245</v>
      </c>
      <c r="G8" s="38" t="n">
        <v>0.245</v>
      </c>
    </row>
    <row r="9">
      <c r="A9" s="11" t="inlineStr">
        <is>
          <t>NOPAT (EBIT × (1 – Tax Rate))</t>
        </is>
      </c>
      <c r="B9" s="39" t="n">
        <v>18611</v>
      </c>
      <c r="C9" s="39" t="n">
        <v>20536</v>
      </c>
      <c r="D9" s="39" t="n">
        <v>22801</v>
      </c>
      <c r="E9" s="39" t="n">
        <v>25292</v>
      </c>
      <c r="F9" s="39" t="n">
        <v>28056</v>
      </c>
      <c r="G9" s="39" t="n">
        <v>28056</v>
      </c>
    </row>
    <row r="11">
      <c r="A11" s="5" t="inlineStr">
        <is>
          <t>UNLEVERED FREE CASH FLOW BRIDGE</t>
        </is>
      </c>
      <c r="B11" s="2" t="n"/>
      <c r="C11" s="2" t="n"/>
      <c r="D11" s="2" t="n"/>
      <c r="E11" s="2" t="n"/>
      <c r="F11" s="2" t="n"/>
      <c r="G11" s="3" t="n"/>
    </row>
    <row r="12">
      <c r="A12" s="9" t="inlineStr">
        <is>
          <t xml:space="preserve">  NOPAT</t>
        </is>
      </c>
      <c r="B12" s="33" t="n">
        <v>18611</v>
      </c>
      <c r="C12" s="33" t="n">
        <v>20536</v>
      </c>
      <c r="D12" s="33" t="n">
        <v>22801</v>
      </c>
      <c r="E12" s="33" t="n">
        <v>25292</v>
      </c>
      <c r="F12" s="33" t="n">
        <v>28056</v>
      </c>
      <c r="G12" s="33" t="n">
        <v>28056</v>
      </c>
    </row>
    <row r="13">
      <c r="A13" s="9" t="inlineStr">
        <is>
          <t xml:space="preserve">  + Depreciation &amp; Amortization</t>
        </is>
      </c>
      <c r="B13" s="33" t="n">
        <v>2020</v>
      </c>
      <c r="C13" s="33" t="n">
        <v>2220</v>
      </c>
      <c r="D13" s="33" t="n">
        <v>2300</v>
      </c>
      <c r="E13" s="33" t="n">
        <v>2440</v>
      </c>
      <c r="F13" s="33" t="n">
        <v>2590</v>
      </c>
      <c r="G13" s="33" t="n">
        <v>2590</v>
      </c>
    </row>
    <row r="14">
      <c r="A14" s="9" t="inlineStr">
        <is>
          <t xml:space="preserve">  – Capital Expenditure</t>
        </is>
      </c>
      <c r="B14" s="33" t="n">
        <v>-3800</v>
      </c>
      <c r="C14" s="33" t="n">
        <v>-4000</v>
      </c>
      <c r="D14" s="33" t="n">
        <v>-4200</v>
      </c>
      <c r="E14" s="33" t="n">
        <v>-4400</v>
      </c>
      <c r="F14" s="33" t="n">
        <v>-4600</v>
      </c>
      <c r="G14" s="33" t="n">
        <v>-4600</v>
      </c>
    </row>
    <row r="15">
      <c r="A15" s="9" t="inlineStr">
        <is>
          <t xml:space="preserve">  – Change in Net Working Capital</t>
        </is>
      </c>
      <c r="B15" s="33" t="n">
        <v>-680</v>
      </c>
      <c r="C15" s="33" t="n">
        <v>-750</v>
      </c>
      <c r="D15" s="33" t="n">
        <v>-820</v>
      </c>
      <c r="E15" s="33" t="n">
        <v>-890</v>
      </c>
      <c r="F15" s="33" t="n">
        <v>-960</v>
      </c>
      <c r="G15" s="33" t="n">
        <v>-960</v>
      </c>
    </row>
    <row r="16">
      <c r="A16" s="15" t="inlineStr">
        <is>
          <t>UNLEVERED FREE CASH FLOW (UFCF)</t>
        </is>
      </c>
      <c r="B16" s="31" t="n">
        <v>16151</v>
      </c>
      <c r="C16" s="31" t="n">
        <v>18006</v>
      </c>
      <c r="D16" s="31" t="n">
        <v>20081</v>
      </c>
      <c r="E16" s="31" t="n">
        <v>22442</v>
      </c>
      <c r="F16" s="31" t="n">
        <v>25086</v>
      </c>
      <c r="G16" s="31" t="n">
        <v>20500</v>
      </c>
    </row>
    <row r="17">
      <c r="A17" s="9" t="inlineStr">
        <is>
          <t xml:space="preserve">      UFCF Margin %</t>
        </is>
      </c>
      <c r="B17" s="38" t="n">
        <v>0.3414</v>
      </c>
      <c r="C17" s="38" t="n">
        <v>0.3453</v>
      </c>
      <c r="D17" s="38" t="n">
        <v>0.3501</v>
      </c>
      <c r="E17" s="38" t="n">
        <v>0.3614</v>
      </c>
      <c r="F17" s="38" t="n">
        <v>0.3733</v>
      </c>
      <c r="G17" s="38" t="n">
        <v>0.3051</v>
      </c>
    </row>
    <row r="18">
      <c r="A18" s="9" t="inlineStr">
        <is>
          <t xml:space="preserve">      UFCF Growth %</t>
        </is>
      </c>
      <c r="B18" s="38" t="n"/>
      <c r="C18" s="38" t="n">
        <v>0.1149</v>
      </c>
      <c r="D18" s="38" t="n">
        <v>0.1152</v>
      </c>
      <c r="E18" s="38" t="n">
        <v>0.1176</v>
      </c>
      <c r="F18" s="38" t="n">
        <v>0.1178</v>
      </c>
      <c r="G18" s="38" t="n"/>
    </row>
    <row r="20">
      <c r="A20" s="5" t="inlineStr">
        <is>
          <t>WACC PARAMETERS (Blue = Inputs)</t>
        </is>
      </c>
      <c r="B20" s="2" t="n"/>
      <c r="C20" s="2" t="n"/>
      <c r="D20" s="2" t="n"/>
      <c r="E20" s="2" t="n"/>
      <c r="F20" s="2" t="n"/>
      <c r="G20" s="3" t="n"/>
    </row>
    <row r="21">
      <c r="A21" s="40" t="inlineStr">
        <is>
          <t>Risk-Free Rate (10yr GoI Bond Yield)</t>
        </is>
      </c>
      <c r="B21" s="41" t="inlineStr">
        <is>
          <t>6.80%</t>
        </is>
      </c>
      <c r="C21" s="42" t="inlineStr"/>
      <c r="D21" s="42" t="inlineStr"/>
      <c r="E21" s="42" t="inlineStr"/>
      <c r="F21" s="42" t="inlineStr"/>
      <c r="G21" s="42" t="inlineStr"/>
    </row>
    <row r="22">
      <c r="A22" s="40" t="inlineStr">
        <is>
          <t>Equity Risk Premium (India)</t>
        </is>
      </c>
      <c r="B22" s="41" t="inlineStr">
        <is>
          <t>6.50%</t>
        </is>
      </c>
      <c r="C22" s="42" t="inlineStr"/>
      <c r="D22" s="42" t="inlineStr"/>
      <c r="E22" s="42" t="inlineStr"/>
      <c r="F22" s="42" t="inlineStr"/>
      <c r="G22" s="42" t="inlineStr"/>
    </row>
    <row r="23">
      <c r="A23" s="40" t="inlineStr">
        <is>
          <t>Beta (ITC – defensive FMCG/Cig)</t>
        </is>
      </c>
      <c r="B23" s="41" t="inlineStr">
        <is>
          <t>0.75</t>
        </is>
      </c>
      <c r="C23" s="42" t="inlineStr"/>
      <c r="D23" s="42" t="inlineStr"/>
      <c r="E23" s="42" t="inlineStr"/>
      <c r="F23" s="42" t="inlineStr"/>
      <c r="G23" s="42" t="inlineStr"/>
    </row>
    <row r="24">
      <c r="A24" s="40" t="inlineStr">
        <is>
          <t>Cost of Equity [Rf + β × ERP]</t>
        </is>
      </c>
      <c r="B24" s="41" t="inlineStr">
        <is>
          <t>11.68%</t>
        </is>
      </c>
      <c r="C24" s="42" t="inlineStr"/>
      <c r="D24" s="42" t="inlineStr"/>
      <c r="E24" s="42" t="inlineStr"/>
      <c r="F24" s="42" t="inlineStr"/>
      <c r="G24" s="42" t="inlineStr"/>
    </row>
    <row r="25">
      <c r="A25" s="40" t="inlineStr">
        <is>
          <t>Pre-tax Cost of Debt</t>
        </is>
      </c>
      <c r="B25" s="41" t="inlineStr">
        <is>
          <t>7.50%</t>
        </is>
      </c>
      <c r="C25" s="42" t="inlineStr"/>
      <c r="D25" s="42" t="inlineStr"/>
      <c r="E25" s="42" t="inlineStr"/>
      <c r="F25" s="42" t="inlineStr"/>
      <c r="G25" s="42" t="inlineStr"/>
    </row>
    <row r="26">
      <c r="A26" s="40" t="inlineStr">
        <is>
          <t>Tax Rate</t>
        </is>
      </c>
      <c r="B26" s="41" t="inlineStr">
        <is>
          <t>24.50%</t>
        </is>
      </c>
      <c r="C26" s="42" t="inlineStr"/>
      <c r="D26" s="42" t="inlineStr"/>
      <c r="E26" s="42" t="inlineStr"/>
      <c r="F26" s="42" t="inlineStr"/>
      <c r="G26" s="42" t="inlineStr"/>
    </row>
    <row r="27">
      <c r="A27" s="40" t="inlineStr">
        <is>
          <t>Post-tax Cost of Debt</t>
        </is>
      </c>
      <c r="B27" s="41" t="inlineStr">
        <is>
          <t>5.66%</t>
        </is>
      </c>
      <c r="C27" s="42" t="inlineStr"/>
      <c r="D27" s="42" t="inlineStr"/>
      <c r="E27" s="42" t="inlineStr"/>
      <c r="F27" s="42" t="inlineStr"/>
      <c r="G27" s="42" t="inlineStr"/>
    </row>
    <row r="28">
      <c r="A28" s="40" t="inlineStr">
        <is>
          <t>Debt / Total Capital (market value)</t>
        </is>
      </c>
      <c r="B28" s="41" t="inlineStr">
        <is>
          <t>1.5%</t>
        </is>
      </c>
      <c r="C28" s="42" t="inlineStr"/>
      <c r="D28" s="42" t="inlineStr"/>
      <c r="E28" s="42" t="inlineStr"/>
      <c r="F28" s="42" t="inlineStr"/>
      <c r="G28" s="42" t="inlineStr"/>
    </row>
    <row r="29">
      <c r="A29" s="40" t="inlineStr">
        <is>
          <t>Equity / Total Capital</t>
        </is>
      </c>
      <c r="B29" s="41" t="inlineStr">
        <is>
          <t>98.5%</t>
        </is>
      </c>
      <c r="C29" s="42" t="inlineStr"/>
      <c r="D29" s="42" t="inlineStr"/>
      <c r="E29" s="42" t="inlineStr"/>
      <c r="F29" s="42" t="inlineStr"/>
      <c r="G29" s="42" t="inlineStr"/>
    </row>
    <row r="30">
      <c r="A30" s="40" t="inlineStr">
        <is>
          <t>WACC (Ke×We + Kd×Wd)</t>
        </is>
      </c>
      <c r="B30" s="41" t="inlineStr">
        <is>
          <t>11.59%</t>
        </is>
      </c>
      <c r="C30" s="42" t="inlineStr"/>
      <c r="D30" s="42" t="inlineStr"/>
      <c r="E30" s="42" t="inlineStr"/>
      <c r="F30" s="42" t="inlineStr"/>
      <c r="G30" s="42" t="inlineStr"/>
    </row>
    <row r="32">
      <c r="A32" s="5" t="inlineStr">
        <is>
          <t>TERMINAL VALUE PARAMETERS</t>
        </is>
      </c>
      <c r="B32" s="2" t="n"/>
      <c r="C32" s="2" t="n"/>
      <c r="D32" s="2" t="n"/>
      <c r="E32" s="2" t="n"/>
      <c r="F32" s="2" t="n"/>
      <c r="G32" s="3" t="n"/>
    </row>
    <row r="33">
      <c r="A33" s="43" t="inlineStr">
        <is>
          <t>Terminal Year (base)</t>
        </is>
      </c>
      <c r="B33" s="44" t="inlineStr">
        <is>
          <t>FY30E</t>
        </is>
      </c>
      <c r="C33" s="45" t="inlineStr"/>
      <c r="D33" s="45" t="inlineStr"/>
      <c r="E33" s="45" t="inlineStr"/>
      <c r="F33" s="45" t="inlineStr"/>
      <c r="G33" s="45" t="inlineStr"/>
    </row>
    <row r="34">
      <c r="A34" s="43" t="inlineStr">
        <is>
          <t>Terminal UFCF (₹ Cr)</t>
        </is>
      </c>
      <c r="B34" s="44" t="inlineStr">
        <is>
          <t>20,500</t>
        </is>
      </c>
      <c r="C34" s="45" t="inlineStr"/>
      <c r="D34" s="45" t="inlineStr"/>
      <c r="E34" s="45" t="inlineStr"/>
      <c r="F34" s="45" t="inlineStr"/>
      <c r="G34" s="45" t="inlineStr"/>
    </row>
    <row r="35">
      <c r="A35" s="43" t="inlineStr">
        <is>
          <t>Terminal Growth Rate – Low</t>
        </is>
      </c>
      <c r="B35" s="44" t="inlineStr">
        <is>
          <t>5.0%</t>
        </is>
      </c>
      <c r="C35" s="45" t="inlineStr"/>
      <c r="D35" s="45" t="inlineStr"/>
      <c r="E35" s="45" t="inlineStr"/>
      <c r="F35" s="45" t="inlineStr"/>
      <c r="G35" s="45" t="inlineStr"/>
    </row>
    <row r="36">
      <c r="A36" s="43" t="inlineStr">
        <is>
          <t>Terminal Growth Rate – Base</t>
        </is>
      </c>
      <c r="B36" s="44" t="inlineStr">
        <is>
          <t>6.0%</t>
        </is>
      </c>
      <c r="C36" s="45" t="inlineStr"/>
      <c r="D36" s="45" t="inlineStr"/>
      <c r="E36" s="45" t="inlineStr"/>
      <c r="F36" s="45" t="inlineStr"/>
      <c r="G36" s="45" t="inlineStr"/>
    </row>
    <row r="37">
      <c r="A37" s="43" t="inlineStr">
        <is>
          <t>Terminal Growth Rate – High</t>
        </is>
      </c>
      <c r="B37" s="44" t="inlineStr">
        <is>
          <t>7.0%</t>
        </is>
      </c>
      <c r="C37" s="45" t="inlineStr"/>
      <c r="D37" s="45" t="inlineStr"/>
      <c r="E37" s="45" t="inlineStr"/>
      <c r="F37" s="45" t="inlineStr"/>
      <c r="G37" s="45" t="inlineStr"/>
    </row>
    <row r="38">
      <c r="A38" s="43" t="inlineStr">
        <is>
          <t>WACC</t>
        </is>
      </c>
      <c r="B38" s="44" t="inlineStr">
        <is>
          <t>11.59%</t>
        </is>
      </c>
      <c r="C38" s="45" t="inlineStr"/>
      <c r="D38" s="45" t="inlineStr"/>
      <c r="E38" s="45" t="inlineStr"/>
      <c r="F38" s="45" t="inlineStr"/>
      <c r="G38" s="45" t="inlineStr"/>
    </row>
    <row r="39">
      <c r="A39" s="43" t="inlineStr">
        <is>
          <t>TV (Gordon Growth, Base) = UFCF × (1+g) / (WACC-g)</t>
        </is>
      </c>
      <c r="B39" s="44" t="inlineStr">
        <is>
          <t>₹ 3,80,050 Cr</t>
        </is>
      </c>
      <c r="C39" s="45" t="inlineStr"/>
      <c r="D39" s="45" t="inlineStr"/>
      <c r="E39" s="45" t="inlineStr"/>
      <c r="F39" s="45" t="inlineStr"/>
      <c r="G39" s="45" t="inlineStr"/>
    </row>
    <row r="40">
      <c r="A40" s="43" t="inlineStr">
        <is>
          <t>Discount Factor (PV factor to FY25E base)</t>
        </is>
      </c>
      <c r="B40" s="44" t="inlineStr">
        <is>
          <t>~0.57×</t>
        </is>
      </c>
      <c r="C40" s="45" t="inlineStr"/>
      <c r="D40" s="45" t="inlineStr"/>
      <c r="E40" s="45" t="inlineStr"/>
      <c r="F40" s="45" t="inlineStr"/>
      <c r="G40" s="45" t="inlineStr"/>
    </row>
    <row r="41">
      <c r="A41" s="43" t="inlineStr">
        <is>
          <t>PV of Terminal Value (Base)</t>
        </is>
      </c>
      <c r="B41" s="44" t="inlineStr">
        <is>
          <t>₹ 2,17,000 Cr</t>
        </is>
      </c>
      <c r="C41" s="45" t="inlineStr"/>
      <c r="D41" s="45" t="inlineStr"/>
      <c r="E41" s="45" t="inlineStr"/>
      <c r="F41" s="45" t="inlineStr"/>
      <c r="G41" s="45" t="inlineStr"/>
    </row>
    <row r="43">
      <c r="A43" s="5" t="inlineStr">
        <is>
          <t>BALANCE SHEET BRIDGE TO EQUITY VALUE</t>
        </is>
      </c>
      <c r="B43" s="2" t="n"/>
      <c r="C43" s="2" t="n"/>
      <c r="D43" s="2" t="n"/>
      <c r="E43" s="2" t="n"/>
      <c r="F43" s="2" t="n"/>
      <c r="G43" s="3" t="n"/>
    </row>
    <row r="44">
      <c r="A44" s="46" t="inlineStr">
        <is>
          <t>Enterprise Value (DCF)</t>
        </is>
      </c>
      <c r="B44" s="47" t="inlineStr">
        <is>
          <t>₹ 2,80,000 – 3,20,000 Cr</t>
        </is>
      </c>
      <c r="C44" s="48" t="inlineStr"/>
      <c r="D44" s="48" t="inlineStr"/>
      <c r="E44" s="48" t="inlineStr"/>
      <c r="F44" s="48" t="inlineStr"/>
      <c r="G44" s="48" t="inlineStr"/>
    </row>
    <row r="45">
      <c r="A45" s="46" t="inlineStr">
        <is>
          <t>+ Net Cash (Cash + Inv – Debt, FY25A)</t>
        </is>
      </c>
      <c r="B45" s="47" t="inlineStr">
        <is>
          <t>₹ 28,000 Cr</t>
        </is>
      </c>
      <c r="C45" s="48" t="inlineStr"/>
      <c r="D45" s="48" t="inlineStr"/>
      <c r="E45" s="48" t="inlineStr"/>
      <c r="F45" s="48" t="inlineStr"/>
      <c r="G45" s="48" t="inlineStr"/>
    </row>
    <row r="46">
      <c r="A46" s="46" t="inlineStr">
        <is>
          <t>+ Investment in ITC Hotels Ltd (40% stake)</t>
        </is>
      </c>
      <c r="B46" s="47" t="inlineStr">
        <is>
          <t>₹ 8,500 Cr</t>
        </is>
      </c>
      <c r="C46" s="48" t="inlineStr"/>
      <c r="D46" s="48" t="inlineStr"/>
      <c r="E46" s="48" t="inlineStr"/>
      <c r="F46" s="48" t="inlineStr"/>
      <c r="G46" s="48" t="inlineStr"/>
    </row>
    <row r="47">
      <c r="A47" s="46" t="inlineStr">
        <is>
          <t>+ Other Non-Operating Investments</t>
        </is>
      </c>
      <c r="B47" s="47" t="inlineStr">
        <is>
          <t>₹ 3,500 Cr</t>
        </is>
      </c>
      <c r="C47" s="48" t="inlineStr"/>
      <c r="D47" s="48" t="inlineStr"/>
      <c r="E47" s="48" t="inlineStr"/>
      <c r="F47" s="48" t="inlineStr"/>
      <c r="G47" s="48" t="inlineStr"/>
    </row>
    <row r="48">
      <c r="A48" s="46">
        <f> Equity Value</f>
        <v/>
      </c>
      <c r="B48" s="47" t="inlineStr">
        <is>
          <t>₹ 3,20,000 – 3,60,000 Cr</t>
        </is>
      </c>
      <c r="C48" s="48" t="inlineStr"/>
      <c r="D48" s="48" t="inlineStr"/>
      <c r="E48" s="48" t="inlineStr"/>
      <c r="F48" s="48" t="inlineStr"/>
      <c r="G48" s="48" t="inlineStr"/>
    </row>
    <row r="49">
      <c r="A49" s="46" t="inlineStr">
        <is>
          <t>Shares Outstanding (Crore)</t>
        </is>
      </c>
      <c r="B49" s="47" t="inlineStr">
        <is>
          <t>12,570</t>
        </is>
      </c>
      <c r="C49" s="48" t="inlineStr"/>
      <c r="D49" s="48" t="inlineStr"/>
      <c r="E49" s="48" t="inlineStr"/>
      <c r="F49" s="48" t="inlineStr"/>
      <c r="G49" s="48" t="inlineStr"/>
    </row>
    <row r="50">
      <c r="A50" s="46" t="inlineStr">
        <is>
          <t>Intrinsic Value Per Share – Low</t>
        </is>
      </c>
      <c r="B50" s="47" t="inlineStr">
        <is>
          <t>₹ 255</t>
        </is>
      </c>
      <c r="C50" s="48" t="inlineStr"/>
      <c r="D50" s="48" t="inlineStr"/>
      <c r="E50" s="48" t="inlineStr"/>
      <c r="F50" s="48" t="inlineStr"/>
      <c r="G50" s="48" t="inlineStr"/>
    </row>
    <row r="51">
      <c r="A51" s="46" t="inlineStr">
        <is>
          <t>Intrinsic Value Per Share – Base</t>
        </is>
      </c>
      <c r="B51" s="47" t="inlineStr">
        <is>
          <t>₹ 281</t>
        </is>
      </c>
      <c r="C51" s="48" t="inlineStr"/>
      <c r="D51" s="48" t="inlineStr"/>
      <c r="E51" s="48" t="inlineStr"/>
      <c r="F51" s="48" t="inlineStr"/>
      <c r="G51" s="48" t="inlineStr"/>
    </row>
    <row r="52">
      <c r="A52" s="46" t="inlineStr">
        <is>
          <t>Intrinsic Value Per Share – High</t>
        </is>
      </c>
      <c r="B52" s="47" t="inlineStr">
        <is>
          <t>₹ 305</t>
        </is>
      </c>
      <c r="C52" s="48" t="inlineStr"/>
      <c r="D52" s="48" t="inlineStr"/>
      <c r="E52" s="48" t="inlineStr"/>
      <c r="F52" s="48" t="inlineStr"/>
      <c r="G52" s="48" t="inlineStr"/>
    </row>
    <row r="53">
      <c r="A53" s="46" t="inlineStr">
        <is>
          <t>Current Market Price (₹)</t>
        </is>
      </c>
      <c r="B53" s="47" t="inlineStr">
        <is>
          <t>₹ 307</t>
        </is>
      </c>
      <c r="C53" s="48" t="inlineStr"/>
      <c r="D53" s="48" t="inlineStr"/>
      <c r="E53" s="48" t="inlineStr"/>
      <c r="F53" s="48" t="inlineStr"/>
      <c r="G53" s="48" t="inlineStr"/>
    </row>
    <row r="54">
      <c r="A54" s="46" t="inlineStr">
        <is>
          <t>Upside / (Downside) – Base</t>
        </is>
      </c>
      <c r="B54" s="47" t="inlineStr">
        <is>
          <t>(–8.5%)</t>
        </is>
      </c>
      <c r="C54" s="48" t="inlineStr"/>
      <c r="D54" s="48" t="inlineStr"/>
      <c r="E54" s="48" t="inlineStr"/>
      <c r="F54" s="48" t="inlineStr"/>
      <c r="G54" s="48" t="inlineStr"/>
    </row>
  </sheetData>
  <mergeCells count="6">
    <mergeCell ref="A32:G32"/>
    <mergeCell ref="A1:G1"/>
    <mergeCell ref="A3:G3"/>
    <mergeCell ref="A20:G20"/>
    <mergeCell ref="A43:G43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ITC LIMITED — DCF ANALYSIS  (₹ Crore)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Line Item</t>
        </is>
      </c>
      <c r="B2" s="4" t="inlineStr">
        <is>
          <t>FY26E</t>
        </is>
      </c>
      <c r="C2" s="4" t="inlineStr">
        <is>
          <t>FY27E</t>
        </is>
      </c>
      <c r="D2" s="4" t="inlineStr">
        <is>
          <t>FY28E</t>
        </is>
      </c>
      <c r="E2" s="4" t="inlineStr">
        <is>
          <t>FY29E</t>
        </is>
      </c>
      <c r="F2" s="4" t="inlineStr">
        <is>
          <t>FY30E</t>
        </is>
      </c>
      <c r="G2" s="4" t="inlineStr">
        <is>
          <t>Terminal</t>
        </is>
      </c>
      <c r="H2" s="4" t="inlineStr">
        <is>
          <t>PV</t>
        </is>
      </c>
    </row>
    <row r="3">
      <c r="A3" s="5" t="inlineStr">
        <is>
          <t>PROJECTED FREE CASH FLOWS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9" t="inlineStr">
        <is>
          <t>Net Revenue</t>
        </is>
      </c>
      <c r="B4" s="19" t="n">
        <v>47310</v>
      </c>
      <c r="C4" s="19" t="n">
        <v>52140</v>
      </c>
      <c r="D4" s="19" t="n">
        <v>57360</v>
      </c>
      <c r="E4" s="19" t="n">
        <v>62100</v>
      </c>
      <c r="F4" s="19" t="n">
        <v>67200</v>
      </c>
      <c r="G4" s="49" t="n"/>
      <c r="H4" s="49" t="n"/>
    </row>
    <row r="5">
      <c r="A5" s="9" t="inlineStr">
        <is>
          <t>EBITDA</t>
        </is>
      </c>
      <c r="B5" s="19" t="n">
        <v>26670</v>
      </c>
      <c r="C5" s="19" t="n">
        <v>29420</v>
      </c>
      <c r="D5" s="19" t="n">
        <v>32500</v>
      </c>
      <c r="E5" s="19" t="n">
        <v>35940</v>
      </c>
      <c r="F5" s="19" t="n">
        <v>39750</v>
      </c>
      <c r="G5" s="49" t="n"/>
      <c r="H5" s="49" t="n"/>
    </row>
    <row r="6">
      <c r="A6" s="9" t="inlineStr">
        <is>
          <t>D&amp;A</t>
        </is>
      </c>
      <c r="B6" s="19" t="n">
        <v>2020</v>
      </c>
      <c r="C6" s="19" t="n">
        <v>2220</v>
      </c>
      <c r="D6" s="19" t="n">
        <v>2300</v>
      </c>
      <c r="E6" s="19" t="n">
        <v>2440</v>
      </c>
      <c r="F6" s="19" t="n">
        <v>2590</v>
      </c>
      <c r="G6" s="49" t="n"/>
      <c r="H6" s="49" t="n"/>
    </row>
    <row r="7">
      <c r="A7" s="11" t="inlineStr">
        <is>
          <t>EBIT</t>
        </is>
      </c>
      <c r="B7" s="12" t="n">
        <v>24650</v>
      </c>
      <c r="C7" s="12" t="n">
        <v>27200</v>
      </c>
      <c r="D7" s="12" t="n">
        <v>30200</v>
      </c>
      <c r="E7" s="12" t="n">
        <v>33500</v>
      </c>
      <c r="F7" s="12" t="n">
        <v>37160</v>
      </c>
      <c r="G7" s="45" t="n"/>
      <c r="H7" s="45" t="n"/>
    </row>
    <row r="8">
      <c r="A8" s="9" t="inlineStr">
        <is>
          <t>Tax Rate (24.5%)</t>
        </is>
      </c>
      <c r="B8" s="14" t="inlineStr">
        <is>
          <t>24.5%</t>
        </is>
      </c>
      <c r="C8" s="14" t="inlineStr">
        <is>
          <t>24.5%</t>
        </is>
      </c>
      <c r="D8" s="14" t="inlineStr">
        <is>
          <t>24.5%</t>
        </is>
      </c>
      <c r="E8" s="14" t="inlineStr">
        <is>
          <t>24.5%</t>
        </is>
      </c>
      <c r="F8" s="14" t="inlineStr">
        <is>
          <t>24.5%</t>
        </is>
      </c>
      <c r="G8" s="49" t="n"/>
      <c r="H8" s="49" t="n"/>
    </row>
    <row r="9">
      <c r="A9" s="11" t="inlineStr">
        <is>
          <t>NOPAT</t>
        </is>
      </c>
      <c r="B9" s="12" t="n">
        <v>18610</v>
      </c>
      <c r="C9" s="12" t="n">
        <v>20536</v>
      </c>
      <c r="D9" s="12" t="n">
        <v>22801</v>
      </c>
      <c r="E9" s="12" t="n">
        <v>25293</v>
      </c>
      <c r="F9" s="12" t="n">
        <v>28036</v>
      </c>
      <c r="G9" s="45" t="n"/>
      <c r="H9" s="45" t="n"/>
    </row>
    <row r="10">
      <c r="A10" s="9" t="inlineStr">
        <is>
          <t>+ D&amp;A</t>
        </is>
      </c>
      <c r="B10" s="19" t="n">
        <v>2020</v>
      </c>
      <c r="C10" s="19" t="n">
        <v>2220</v>
      </c>
      <c r="D10" s="19" t="n">
        <v>2300</v>
      </c>
      <c r="E10" s="19" t="n">
        <v>2440</v>
      </c>
      <c r="F10" s="19" t="n">
        <v>2590</v>
      </c>
      <c r="G10" s="49" t="n"/>
      <c r="H10" s="49" t="n"/>
    </row>
    <row r="11">
      <c r="A11" s="9" t="inlineStr">
        <is>
          <t>– CapEx</t>
        </is>
      </c>
      <c r="B11" s="19" t="n">
        <v>-3800</v>
      </c>
      <c r="C11" s="19" t="n">
        <v>-4000</v>
      </c>
      <c r="D11" s="19" t="n">
        <v>-4200</v>
      </c>
      <c r="E11" s="19" t="n">
        <v>-4400</v>
      </c>
      <c r="F11" s="19" t="n">
        <v>-4600</v>
      </c>
      <c r="G11" s="49" t="n"/>
      <c r="H11" s="49" t="n"/>
    </row>
    <row r="12">
      <c r="A12" s="9" t="inlineStr">
        <is>
          <t>– Change in NWC</t>
        </is>
      </c>
      <c r="B12" s="19" t="n">
        <v>-680</v>
      </c>
      <c r="C12" s="19" t="n">
        <v>-750</v>
      </c>
      <c r="D12" s="19" t="n">
        <v>-820</v>
      </c>
      <c r="E12" s="19" t="n">
        <v>-890</v>
      </c>
      <c r="F12" s="19" t="n">
        <v>-960</v>
      </c>
      <c r="G12" s="49" t="n"/>
      <c r="H12" s="49" t="n"/>
    </row>
    <row r="13">
      <c r="A13" s="15" t="inlineStr">
        <is>
          <t>UNLEVERED FCF</t>
        </is>
      </c>
      <c r="B13" s="16" t="n">
        <v>13500</v>
      </c>
      <c r="C13" s="16" t="n">
        <v>15200</v>
      </c>
      <c r="D13" s="50" t="n">
        <v>17100</v>
      </c>
      <c r="E13" s="50" t="n">
        <v>18800</v>
      </c>
      <c r="F13" s="50" t="n">
        <v>20500</v>
      </c>
      <c r="G13" s="51" t="n"/>
      <c r="H13" s="16" t="n">
        <v>60583</v>
      </c>
      <c r="I13" s="51" t="n"/>
      <c r="J13" s="51" t="n"/>
      <c r="K13" s="51" t="n"/>
    </row>
    <row r="15">
      <c r="A15" s="5" t="inlineStr">
        <is>
          <t>TERMINAL VALUE CALCULATION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7" t="inlineStr">
        <is>
          <t>Terminal UFCF (FY30E)</t>
        </is>
      </c>
      <c r="B16" s="8" t="n">
        <v>20500</v>
      </c>
      <c r="C16" s="42" t="n"/>
      <c r="D16" s="42" t="n"/>
      <c r="E16" s="42" t="n"/>
      <c r="F16" s="42" t="n"/>
      <c r="G16" s="42" t="n"/>
      <c r="H16" s="42" t="n"/>
    </row>
    <row r="17">
      <c r="A17" s="7" t="inlineStr">
        <is>
          <t>Terminal Growth Rate (g)</t>
        </is>
      </c>
      <c r="B17" s="52" t="inlineStr">
        <is>
          <t>6.00%</t>
        </is>
      </c>
      <c r="C17" s="42" t="n"/>
      <c r="D17" s="42" t="n"/>
      <c r="E17" s="42" t="n"/>
      <c r="F17" s="42" t="n"/>
      <c r="G17" s="42" t="n"/>
      <c r="H17" s="42" t="n"/>
    </row>
    <row r="18">
      <c r="A18" s="7" t="inlineStr">
        <is>
          <t>WACC</t>
        </is>
      </c>
      <c r="B18" s="52" t="inlineStr">
        <is>
          <t>11.59%</t>
        </is>
      </c>
      <c r="C18" s="42" t="n"/>
      <c r="D18" s="42" t="n"/>
      <c r="E18" s="42" t="n"/>
      <c r="F18" s="42" t="n"/>
      <c r="G18" s="42" t="n"/>
      <c r="H18" s="42" t="n"/>
    </row>
    <row r="19">
      <c r="A19" s="15" t="inlineStr">
        <is>
          <t>Terminal Value = UFCF×(1+g)/(WACC–g)</t>
        </is>
      </c>
      <c r="B19" s="16" t="n">
        <v>388550</v>
      </c>
      <c r="C19" s="48" t="n"/>
      <c r="D19" s="48" t="n"/>
      <c r="E19" s="48" t="n"/>
      <c r="F19" s="48" t="n"/>
      <c r="G19" s="48" t="n"/>
      <c r="H19" s="48" t="n"/>
    </row>
    <row r="20">
      <c r="A20" s="7" t="inlineStr">
        <is>
          <t>Discount Factor (5yr)</t>
        </is>
      </c>
      <c r="B20" s="53" t="n">
        <v>0.5779</v>
      </c>
      <c r="C20" s="42" t="n"/>
      <c r="D20" s="42" t="n"/>
      <c r="E20" s="42" t="n"/>
      <c r="F20" s="42" t="n"/>
      <c r="G20" s="42" t="n"/>
      <c r="H20" s="42" t="n"/>
    </row>
    <row r="21">
      <c r="A21" s="15" t="inlineStr">
        <is>
          <t>PV of Terminal Value</t>
        </is>
      </c>
      <c r="B21" s="16" t="n">
        <v>224780</v>
      </c>
      <c r="C21" s="48" t="n"/>
      <c r="D21" s="48" t="n"/>
      <c r="E21" s="48" t="n"/>
      <c r="F21" s="48" t="n"/>
      <c r="G21" s="48" t="n"/>
      <c r="H21" s="48" t="n"/>
    </row>
    <row r="22">
      <c r="A22" s="7" t="inlineStr">
        <is>
          <t>TV as % of EV</t>
        </is>
      </c>
      <c r="B22" s="52" t="inlineStr">
        <is>
          <t>79%</t>
        </is>
      </c>
      <c r="C22" s="42" t="n"/>
      <c r="D22" s="42" t="n"/>
      <c r="E22" s="42" t="n"/>
      <c r="F22" s="42" t="n"/>
      <c r="G22" s="42" t="n"/>
      <c r="H22" s="42" t="n"/>
    </row>
    <row r="24">
      <c r="A24" s="5" t="inlineStr">
        <is>
          <t>ENTERPRISE VALUE → EQUITY VALUE BRIDGE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7" t="inlineStr">
        <is>
          <t>PV of Free Cash Flows (FY26–FY30)</t>
        </is>
      </c>
      <c r="B25" s="8" t="n">
        <v>60589</v>
      </c>
      <c r="C25" s="42" t="n"/>
      <c r="D25" s="42" t="n"/>
      <c r="E25" s="42" t="n"/>
      <c r="F25" s="42" t="n"/>
      <c r="G25" s="42" t="n"/>
      <c r="H25" s="42" t="n"/>
    </row>
    <row r="26">
      <c r="A26" s="7" t="inlineStr">
        <is>
          <t>PV of Terminal Value</t>
        </is>
      </c>
      <c r="B26" s="8" t="n">
        <v>224780</v>
      </c>
      <c r="C26" s="42" t="n"/>
      <c r="D26" s="42" t="n"/>
      <c r="E26" s="42" t="n"/>
      <c r="F26" s="42" t="n"/>
      <c r="G26" s="42" t="n"/>
      <c r="H26" s="42" t="n"/>
    </row>
    <row r="27">
      <c r="A27" s="15" t="inlineStr">
        <is>
          <t>ENTERPRISE VALUE</t>
        </is>
      </c>
      <c r="B27" s="16" t="n">
        <v>285369</v>
      </c>
      <c r="C27" s="48" t="n"/>
      <c r="D27" s="48" t="n"/>
      <c r="E27" s="48" t="n"/>
      <c r="F27" s="48" t="n"/>
      <c r="G27" s="48" t="n"/>
      <c r="H27" s="48" t="n"/>
    </row>
    <row r="28">
      <c r="A28" s="54" t="inlineStr">
        <is>
          <t>+ Net Cash &amp; Investments (FY25A)</t>
        </is>
      </c>
      <c r="B28" s="55" t="n">
        <v>28000</v>
      </c>
      <c r="C28" s="45" t="n"/>
      <c r="D28" s="45" t="n"/>
      <c r="E28" s="45" t="n"/>
      <c r="F28" s="45" t="n"/>
      <c r="G28" s="45" t="n"/>
      <c r="H28" s="45" t="n"/>
    </row>
    <row r="29">
      <c r="A29" s="54" t="inlineStr">
        <is>
          <t>+ ITC Hotels Stake (40%)</t>
        </is>
      </c>
      <c r="B29" s="55" t="n">
        <v>8500</v>
      </c>
      <c r="C29" s="45" t="n"/>
      <c r="D29" s="45" t="n"/>
      <c r="E29" s="45" t="n"/>
      <c r="F29" s="45" t="n"/>
      <c r="G29" s="45" t="n"/>
      <c r="H29" s="45" t="n"/>
    </row>
    <row r="30">
      <c r="A30" s="54" t="inlineStr">
        <is>
          <t>+ Other Non-Operating Investments</t>
        </is>
      </c>
      <c r="B30" s="55" t="n">
        <v>3500</v>
      </c>
      <c r="C30" s="45" t="n"/>
      <c r="D30" s="45" t="n"/>
      <c r="E30" s="45" t="n"/>
      <c r="F30" s="45" t="n"/>
      <c r="G30" s="45" t="n"/>
      <c r="H30" s="45" t="n"/>
    </row>
    <row r="31">
      <c r="A31" s="9" t="inlineStr">
        <is>
          <t>– Minority Interest</t>
        </is>
      </c>
      <c r="B31" s="10" t="n">
        <v>-2120</v>
      </c>
      <c r="C31" s="49" t="n"/>
      <c r="D31" s="49" t="n"/>
      <c r="E31" s="49" t="n"/>
      <c r="F31" s="49" t="n"/>
      <c r="G31" s="49" t="n"/>
      <c r="H31" s="49" t="n"/>
    </row>
    <row r="32">
      <c r="A32" s="15" t="inlineStr">
        <is>
          <t>EQUITY VALUE</t>
        </is>
      </c>
      <c r="B32" s="16" t="n">
        <v>323249</v>
      </c>
      <c r="C32" s="48" t="n"/>
      <c r="D32" s="48" t="n"/>
      <c r="E32" s="48" t="n"/>
      <c r="F32" s="48" t="n"/>
      <c r="G32" s="48" t="n"/>
      <c r="H32" s="48" t="n"/>
    </row>
    <row r="33">
      <c r="A33" s="9" t="inlineStr">
        <is>
          <t>Shares Outstanding (Crore)</t>
        </is>
      </c>
      <c r="B33" s="19" t="n">
        <v>12570</v>
      </c>
      <c r="C33" s="49" t="n"/>
      <c r="D33" s="49" t="n"/>
      <c r="E33" s="49" t="n"/>
      <c r="F33" s="49" t="n"/>
      <c r="G33" s="49" t="n"/>
      <c r="H33" s="49" t="n"/>
    </row>
    <row r="34">
      <c r="A34" s="15" t="inlineStr">
        <is>
          <t>DCF INTRINSIC VALUE PER SHARE (₹)</t>
        </is>
      </c>
      <c r="B34" s="21" t="n">
        <v>257.2</v>
      </c>
      <c r="C34" s="48" t="n"/>
      <c r="D34" s="48" t="n"/>
      <c r="E34" s="48" t="n"/>
      <c r="F34" s="48" t="n"/>
      <c r="G34" s="48" t="n"/>
      <c r="H34" s="48" t="n"/>
    </row>
  </sheetData>
  <mergeCells count="4">
    <mergeCell ref="A15:H15"/>
    <mergeCell ref="A3:H3"/>
    <mergeCell ref="A24:H24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ITC LIMITED — DCF SENSITIVITY ANALYSIS  (Price Per Share ₹)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>
      <c r="A3" s="56" t="inlineStr">
        <is>
          <t>TABLE 1: DCF Price (₹) — WACC vs Terminal Growth Rate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>
      <c r="A4" s="4" t="inlineStr">
        <is>
          <t>WACC \ Terminal g</t>
        </is>
      </c>
      <c r="B4" s="4" t="inlineStr">
        <is>
          <t>4.5%</t>
        </is>
      </c>
      <c r="C4" s="4" t="inlineStr">
        <is>
          <t>5.0%</t>
        </is>
      </c>
      <c r="D4" s="4" t="inlineStr">
        <is>
          <t>5.5%</t>
        </is>
      </c>
      <c r="E4" s="4" t="inlineStr">
        <is>
          <t>6.0%</t>
        </is>
      </c>
      <c r="F4" s="4" t="inlineStr">
        <is>
          <t>6.5%</t>
        </is>
      </c>
      <c r="G4" s="4" t="inlineStr">
        <is>
          <t>7.0%</t>
        </is>
      </c>
      <c r="H4" s="4" t="inlineStr">
        <is>
          <t>7.5%</t>
        </is>
      </c>
    </row>
    <row r="5">
      <c r="A5" s="57" t="inlineStr">
        <is>
          <t>9.50%</t>
        </is>
      </c>
      <c r="B5" s="58" t="n">
        <v>29</v>
      </c>
      <c r="C5" s="58" t="n">
        <v>32</v>
      </c>
      <c r="D5" s="58" t="n">
        <v>35</v>
      </c>
      <c r="E5" s="58" t="n">
        <v>39</v>
      </c>
      <c r="F5" s="58" t="n">
        <v>45</v>
      </c>
      <c r="G5" s="58" t="n">
        <v>52</v>
      </c>
      <c r="H5" s="58" t="n">
        <v>64</v>
      </c>
    </row>
    <row r="6">
      <c r="A6" s="57" t="inlineStr">
        <is>
          <t>10.00%</t>
        </is>
      </c>
      <c r="B6" s="58" t="n">
        <v>27</v>
      </c>
      <c r="C6" s="58" t="n">
        <v>29</v>
      </c>
      <c r="D6" s="58" t="n">
        <v>32</v>
      </c>
      <c r="E6" s="58" t="n">
        <v>35</v>
      </c>
      <c r="F6" s="58" t="n">
        <v>39</v>
      </c>
      <c r="G6" s="58" t="n">
        <v>44</v>
      </c>
      <c r="H6" s="58" t="n">
        <v>51</v>
      </c>
    </row>
    <row r="7">
      <c r="A7" s="57" t="inlineStr">
        <is>
          <t>10.50%</t>
        </is>
      </c>
      <c r="B7" s="58" t="n">
        <v>25</v>
      </c>
      <c r="C7" s="58" t="n">
        <v>27</v>
      </c>
      <c r="D7" s="58" t="n">
        <v>29</v>
      </c>
      <c r="E7" s="58" t="n">
        <v>31</v>
      </c>
      <c r="F7" s="58" t="n">
        <v>34</v>
      </c>
      <c r="G7" s="58" t="n">
        <v>38</v>
      </c>
      <c r="H7" s="58" t="n">
        <v>43</v>
      </c>
    </row>
    <row r="8">
      <c r="A8" s="57" t="inlineStr">
        <is>
          <t>11.00%</t>
        </is>
      </c>
      <c r="B8" s="58" t="n">
        <v>23</v>
      </c>
      <c r="C8" s="58" t="n">
        <v>25</v>
      </c>
      <c r="D8" s="58" t="n">
        <v>26</v>
      </c>
      <c r="E8" s="58" t="n">
        <v>28</v>
      </c>
      <c r="F8" s="58" t="n">
        <v>31</v>
      </c>
      <c r="G8" s="58" t="n">
        <v>34</v>
      </c>
      <c r="H8" s="58" t="n">
        <v>38</v>
      </c>
    </row>
    <row r="9">
      <c r="A9" s="26" t="inlineStr">
        <is>
          <t>11.59%</t>
        </is>
      </c>
      <c r="B9" s="58" t="n">
        <v>22</v>
      </c>
      <c r="C9" s="58" t="n">
        <v>23</v>
      </c>
      <c r="D9" s="58" t="n">
        <v>24</v>
      </c>
      <c r="E9" s="16" t="n">
        <v>26</v>
      </c>
      <c r="F9" s="58" t="n">
        <v>28</v>
      </c>
      <c r="G9" s="58" t="n">
        <v>30</v>
      </c>
      <c r="H9" s="58" t="n">
        <v>33</v>
      </c>
    </row>
    <row r="10">
      <c r="A10" s="57" t="inlineStr">
        <is>
          <t>12.00%</t>
        </is>
      </c>
      <c r="B10" s="58" t="n">
        <v>21</v>
      </c>
      <c r="C10" s="58" t="n">
        <v>22</v>
      </c>
      <c r="D10" s="58" t="n">
        <v>23</v>
      </c>
      <c r="E10" s="58" t="n">
        <v>24</v>
      </c>
      <c r="F10" s="58" t="n">
        <v>26</v>
      </c>
      <c r="G10" s="58" t="n">
        <v>28</v>
      </c>
      <c r="H10" s="58" t="n">
        <v>30</v>
      </c>
    </row>
    <row r="11">
      <c r="A11" s="57" t="inlineStr">
        <is>
          <t>12.50%</t>
        </is>
      </c>
      <c r="B11" s="58" t="n">
        <v>20</v>
      </c>
      <c r="C11" s="58" t="n">
        <v>21</v>
      </c>
      <c r="D11" s="58" t="n">
        <v>21</v>
      </c>
      <c r="E11" s="58" t="n">
        <v>23</v>
      </c>
      <c r="F11" s="58" t="n">
        <v>24</v>
      </c>
      <c r="G11" s="58" t="n">
        <v>25</v>
      </c>
      <c r="H11" s="58" t="n">
        <v>27</v>
      </c>
    </row>
    <row r="12">
      <c r="A12" s="57" t="inlineStr">
        <is>
          <t>13.00%</t>
        </is>
      </c>
      <c r="B12" s="58" t="n">
        <v>19</v>
      </c>
      <c r="C12" s="58" t="n">
        <v>19</v>
      </c>
      <c r="D12" s="58" t="n">
        <v>20</v>
      </c>
      <c r="E12" s="58" t="n">
        <v>21</v>
      </c>
      <c r="F12" s="58" t="n">
        <v>22</v>
      </c>
      <c r="G12" s="58" t="n">
        <v>24</v>
      </c>
      <c r="H12" s="58" t="n">
        <v>25</v>
      </c>
    </row>
    <row r="16">
      <c r="A16" s="59" t="inlineStr">
        <is>
          <t>TABLE 2: Implied EV/EBITDA-based Price (₹) — Revenue CAGR vs EBITDA Margin</t>
        </is>
      </c>
      <c r="B16" s="2" t="n"/>
      <c r="C16" s="2" t="n"/>
      <c r="D16" s="2" t="n"/>
      <c r="E16" s="2" t="n"/>
      <c r="F16" s="2" t="n"/>
      <c r="G16" s="2" t="n"/>
      <c r="H16" s="2" t="n"/>
      <c r="I16" s="3" t="n"/>
    </row>
    <row r="17">
      <c r="A17" s="4" t="inlineStr">
        <is>
          <t>Rev CAGR \ EBITDA Margin</t>
        </is>
      </c>
      <c r="B17" s="4" t="inlineStr">
        <is>
          <t>28%</t>
        </is>
      </c>
      <c r="C17" s="4" t="inlineStr">
        <is>
          <t>31%</t>
        </is>
      </c>
      <c r="D17" s="4" t="inlineStr">
        <is>
          <t>34%</t>
        </is>
      </c>
      <c r="E17" s="4" t="inlineStr">
        <is>
          <t>37%</t>
        </is>
      </c>
      <c r="F17" s="4" t="inlineStr">
        <is>
          <t>40%</t>
        </is>
      </c>
    </row>
    <row r="18">
      <c r="A18" s="57" t="inlineStr">
        <is>
          <t>6.0%</t>
        </is>
      </c>
      <c r="B18" s="58" t="n">
        <v>25</v>
      </c>
      <c r="C18" s="58" t="n">
        <v>27</v>
      </c>
      <c r="D18" s="58" t="n">
        <v>29</v>
      </c>
      <c r="E18" s="58" t="n">
        <v>32</v>
      </c>
      <c r="F18" s="58" t="n">
        <v>34</v>
      </c>
    </row>
    <row r="19">
      <c r="A19" s="57" t="inlineStr">
        <is>
          <t>8.0%</t>
        </is>
      </c>
      <c r="B19" s="58" t="n">
        <v>27</v>
      </c>
      <c r="C19" s="58" t="n">
        <v>30</v>
      </c>
      <c r="D19" s="58" t="n">
        <v>32</v>
      </c>
      <c r="E19" s="58" t="n">
        <v>35</v>
      </c>
      <c r="F19" s="58" t="n">
        <v>37</v>
      </c>
    </row>
    <row r="20">
      <c r="A20" s="26" t="inlineStr">
        <is>
          <t>9.3%</t>
        </is>
      </c>
      <c r="B20" s="58" t="n">
        <v>28</v>
      </c>
      <c r="C20" s="58" t="n">
        <v>31</v>
      </c>
      <c r="D20" s="58" t="n">
        <v>34</v>
      </c>
      <c r="E20" s="58" t="n">
        <v>37</v>
      </c>
      <c r="F20" s="58" t="n">
        <v>39</v>
      </c>
    </row>
    <row r="21">
      <c r="A21" s="57" t="inlineStr">
        <is>
          <t>11.0%</t>
        </is>
      </c>
      <c r="B21" s="58" t="n">
        <v>30</v>
      </c>
      <c r="C21" s="58" t="n">
        <v>33</v>
      </c>
      <c r="D21" s="58" t="n">
        <v>36</v>
      </c>
      <c r="E21" s="58" t="n">
        <v>39</v>
      </c>
      <c r="F21" s="58" t="n">
        <v>42</v>
      </c>
    </row>
    <row r="22">
      <c r="A22" s="57" t="inlineStr">
        <is>
          <t>13.0%</t>
        </is>
      </c>
      <c r="B22" s="58" t="n">
        <v>33</v>
      </c>
      <c r="C22" s="58" t="n">
        <v>36</v>
      </c>
      <c r="D22" s="58" t="n">
        <v>39</v>
      </c>
      <c r="E22" s="58" t="n">
        <v>43</v>
      </c>
      <c r="F22" s="58" t="n">
        <v>46</v>
      </c>
    </row>
    <row r="25">
      <c r="A25" s="59" t="inlineStr">
        <is>
          <t>TABLE 3: Price Target Sensitivity to FMCG-Others EBIT Margin (FY30E)</t>
        </is>
      </c>
      <c r="B25" s="2" t="n"/>
      <c r="C25" s="2" t="n"/>
      <c r="D25" s="2" t="n"/>
      <c r="E25" s="3" t="n"/>
    </row>
    <row r="26">
      <c r="A26" s="4" t="inlineStr">
        <is>
          <t>FMCG-Others EBIT Margin (FY30E)</t>
        </is>
      </c>
      <c r="B26" s="4" t="inlineStr">
        <is>
          <t>FMCG EBIT (₹ Cr)</t>
        </is>
      </c>
      <c r="C26" s="4" t="inlineStr">
        <is>
          <t>Incremental EV (₹ Cr)</t>
        </is>
      </c>
      <c r="D26" s="4" t="inlineStr">
        <is>
          <t>Incremental ₹/Share</t>
        </is>
      </c>
      <c r="E26" s="4" t="inlineStr">
        <is>
          <t>Total Price (₹)</t>
        </is>
      </c>
    </row>
    <row r="27">
      <c r="A27" s="60" t="inlineStr">
        <is>
          <t>3%</t>
        </is>
      </c>
      <c r="B27" s="19" t="n">
        <v>1326</v>
      </c>
      <c r="C27" s="10" t="n">
        <v>-53040</v>
      </c>
      <c r="D27" s="61" t="n">
        <v>-4.2</v>
      </c>
      <c r="E27" s="25" t="n">
        <v>376</v>
      </c>
    </row>
    <row r="28">
      <c r="A28" s="60" t="inlineStr">
        <is>
          <t>5%</t>
        </is>
      </c>
      <c r="B28" s="19" t="n">
        <v>2210</v>
      </c>
      <c r="C28" s="10" t="n">
        <v>-26520</v>
      </c>
      <c r="D28" s="61" t="n">
        <v>-2.1</v>
      </c>
      <c r="E28" s="25" t="n">
        <v>378</v>
      </c>
    </row>
    <row r="29">
      <c r="A29" s="62" t="inlineStr">
        <is>
          <t>7%</t>
        </is>
      </c>
      <c r="B29" s="16" t="n">
        <v>3094</v>
      </c>
      <c r="C29" s="50" t="n">
        <v>0</v>
      </c>
      <c r="D29" s="63" t="n">
        <v>-0</v>
      </c>
      <c r="E29" s="16" t="n">
        <v>380</v>
      </c>
    </row>
    <row r="30">
      <c r="A30" s="60" t="inlineStr">
        <is>
          <t>9%</t>
        </is>
      </c>
      <c r="B30" s="19" t="n">
        <v>3978</v>
      </c>
      <c r="C30" s="19" t="n">
        <v>26520</v>
      </c>
      <c r="D30" s="64" t="n">
        <v>2.1</v>
      </c>
      <c r="E30" s="12" t="n">
        <v>382</v>
      </c>
    </row>
    <row r="31">
      <c r="A31" s="60" t="inlineStr">
        <is>
          <t>11%</t>
        </is>
      </c>
      <c r="B31" s="19" t="n">
        <v>4862</v>
      </c>
      <c r="C31" s="19" t="n">
        <v>53040</v>
      </c>
      <c r="D31" s="64" t="n">
        <v>4.2</v>
      </c>
      <c r="E31" s="12" t="n">
        <v>384</v>
      </c>
    </row>
    <row r="32">
      <c r="A32" s="60" t="inlineStr">
        <is>
          <t>13%</t>
        </is>
      </c>
      <c r="B32" s="19" t="n">
        <v>5746</v>
      </c>
      <c r="C32" s="19" t="n">
        <v>79560</v>
      </c>
      <c r="D32" s="64" t="n">
        <v>6.3</v>
      </c>
      <c r="E32" s="12" t="n">
        <v>386</v>
      </c>
    </row>
  </sheetData>
  <mergeCells count="4">
    <mergeCell ref="A1:J1"/>
    <mergeCell ref="A25:E25"/>
    <mergeCell ref="A3:I3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ITC LIMITED — COMPARABLE COMPANIES ANALYSIS  (Market data: March 12,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65" t="inlineStr">
        <is>
          <t>All Indian figures in ₹ Crore; Global peers converted to ₹ Crore equiv. at ₹84.5/USD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A3" s="4" t="inlineStr">
        <is>
          <t>Company</t>
        </is>
      </c>
      <c r="B3" s="4" t="inlineStr">
        <is>
          <t>Ticker</t>
        </is>
      </c>
      <c r="C3" s="4" t="inlineStr">
        <is>
          <t>Mkt Cap
(₹ Cr)</t>
        </is>
      </c>
      <c r="D3" s="4" t="inlineStr">
        <is>
          <t>EV
(₹ Cr)</t>
        </is>
      </c>
      <c r="E3" s="4" t="inlineStr">
        <is>
          <t>EV/Rev
LTM</t>
        </is>
      </c>
      <c r="F3" s="4" t="inlineStr">
        <is>
          <t>EV/Rev
NTM</t>
        </is>
      </c>
      <c r="G3" s="4" t="inlineStr">
        <is>
          <t>EV/EBITDA
LTM</t>
        </is>
      </c>
      <c r="H3" s="4" t="inlineStr">
        <is>
          <t>EV/EBITDA
NTM</t>
        </is>
      </c>
      <c r="I3" s="4" t="inlineStr">
        <is>
          <t>P/E
NTM</t>
        </is>
      </c>
      <c r="J3" s="4" t="inlineStr">
        <is>
          <t>Rev
Growth</t>
        </is>
      </c>
      <c r="K3" s="4" t="inlineStr">
        <is>
          <t>EBITDA
Margin</t>
        </is>
      </c>
    </row>
    <row r="4">
      <c r="A4" s="5" t="inlineStr">
        <is>
          <t>─── INDIAN FMCG PEERS ───</t>
        </is>
      </c>
      <c r="B4" s="66" t="inlineStr"/>
      <c r="C4" s="66" t="inlineStr"/>
      <c r="D4" s="66" t="inlineStr"/>
      <c r="E4" s="66" t="inlineStr"/>
      <c r="F4" s="66" t="inlineStr"/>
      <c r="G4" s="66" t="inlineStr"/>
      <c r="H4" s="66" t="inlineStr"/>
      <c r="I4" s="66" t="inlineStr"/>
      <c r="J4" s="66" t="inlineStr"/>
      <c r="K4" s="66" t="inlineStr"/>
    </row>
    <row r="5">
      <c r="A5" s="9" t="inlineStr">
        <is>
          <t>Hindustan Unilever</t>
        </is>
      </c>
      <c r="B5" s="67" t="inlineStr">
        <is>
          <t>HINDUNILVR</t>
        </is>
      </c>
      <c r="C5" s="19" t="n">
        <v>540000</v>
      </c>
      <c r="D5" s="19" t="n">
        <v>532000</v>
      </c>
      <c r="E5" s="67" t="inlineStr">
        <is>
          <t>8.4x</t>
        </is>
      </c>
      <c r="F5" s="67" t="inlineStr">
        <is>
          <t>7.9x</t>
        </is>
      </c>
      <c r="G5" s="67" t="inlineStr">
        <is>
          <t>39.2x</t>
        </is>
      </c>
      <c r="H5" s="67" t="inlineStr">
        <is>
          <t>36.8x</t>
        </is>
      </c>
      <c r="I5" s="67" t="inlineStr">
        <is>
          <t>54x</t>
        </is>
      </c>
      <c r="J5" s="67" t="inlineStr">
        <is>
          <t>6%</t>
        </is>
      </c>
      <c r="K5" s="67" t="inlineStr">
        <is>
          <t>21.5%</t>
        </is>
      </c>
    </row>
    <row r="6">
      <c r="A6" s="57" t="inlineStr">
        <is>
          <t>Nestle India</t>
        </is>
      </c>
      <c r="B6" s="68" t="inlineStr">
        <is>
          <t>NESTLEIND</t>
        </is>
      </c>
      <c r="C6" s="69" t="n">
        <v>214000</v>
      </c>
      <c r="D6" s="69" t="n">
        <v>208000</v>
      </c>
      <c r="E6" s="68" t="inlineStr">
        <is>
          <t>12.8x</t>
        </is>
      </c>
      <c r="F6" s="68" t="inlineStr">
        <is>
          <t>11.9x</t>
        </is>
      </c>
      <c r="G6" s="68" t="inlineStr">
        <is>
          <t>55.2x</t>
        </is>
      </c>
      <c r="H6" s="68" t="inlineStr">
        <is>
          <t>51.4x</t>
        </is>
      </c>
      <c r="I6" s="68" t="inlineStr">
        <is>
          <t>72x</t>
        </is>
      </c>
      <c r="J6" s="68" t="inlineStr">
        <is>
          <t>8%</t>
        </is>
      </c>
      <c r="K6" s="68" t="inlineStr">
        <is>
          <t>23.2%</t>
        </is>
      </c>
    </row>
    <row r="7">
      <c r="A7" s="9" t="inlineStr">
        <is>
          <t>Britannia Industries</t>
        </is>
      </c>
      <c r="B7" s="67" t="inlineStr">
        <is>
          <t>BRITANNIA</t>
        </is>
      </c>
      <c r="C7" s="19" t="n">
        <v>112000</v>
      </c>
      <c r="D7" s="19" t="n">
        <v>109000</v>
      </c>
      <c r="E7" s="67" t="inlineStr">
        <is>
          <t>6.9x</t>
        </is>
      </c>
      <c r="F7" s="67" t="inlineStr">
        <is>
          <t>6.4x</t>
        </is>
      </c>
      <c r="G7" s="67" t="inlineStr">
        <is>
          <t>33.4x</t>
        </is>
      </c>
      <c r="H7" s="67" t="inlineStr">
        <is>
          <t>30.8x</t>
        </is>
      </c>
      <c r="I7" s="67" t="inlineStr">
        <is>
          <t>48x</t>
        </is>
      </c>
      <c r="J7" s="67" t="inlineStr">
        <is>
          <t>7%</t>
        </is>
      </c>
      <c r="K7" s="67" t="inlineStr">
        <is>
          <t>20.7%</t>
        </is>
      </c>
    </row>
    <row r="8">
      <c r="A8" s="57" t="inlineStr">
        <is>
          <t>Dabur India</t>
        </is>
      </c>
      <c r="B8" s="68" t="inlineStr">
        <is>
          <t>DABUR</t>
        </is>
      </c>
      <c r="C8" s="69" t="n">
        <v>88000</v>
      </c>
      <c r="D8" s="69" t="n">
        <v>86500</v>
      </c>
      <c r="E8" s="68" t="inlineStr">
        <is>
          <t>5.1x</t>
        </is>
      </c>
      <c r="F8" s="68" t="inlineStr">
        <is>
          <t>4.7x</t>
        </is>
      </c>
      <c r="G8" s="68" t="inlineStr">
        <is>
          <t>28.6x</t>
        </is>
      </c>
      <c r="H8" s="68" t="inlineStr">
        <is>
          <t>26.4x</t>
        </is>
      </c>
      <c r="I8" s="68" t="inlineStr">
        <is>
          <t>42x</t>
        </is>
      </c>
      <c r="J8" s="68" t="inlineStr">
        <is>
          <t>9%</t>
        </is>
      </c>
      <c r="K8" s="68" t="inlineStr">
        <is>
          <t>17.8%</t>
        </is>
      </c>
    </row>
    <row r="9">
      <c r="A9" s="9" t="inlineStr">
        <is>
          <t>Tata Consumer Products</t>
        </is>
      </c>
      <c r="B9" s="67" t="inlineStr">
        <is>
          <t>TATACONSUM</t>
        </is>
      </c>
      <c r="C9" s="19" t="n">
        <v>93500</v>
      </c>
      <c r="D9" s="19" t="n">
        <v>91000</v>
      </c>
      <c r="E9" s="67" t="inlineStr">
        <is>
          <t>4.8x</t>
        </is>
      </c>
      <c r="F9" s="67" t="inlineStr">
        <is>
          <t>4.4x</t>
        </is>
      </c>
      <c r="G9" s="67" t="inlineStr">
        <is>
          <t>34.2x</t>
        </is>
      </c>
      <c r="H9" s="67" t="inlineStr">
        <is>
          <t>31.5x</t>
        </is>
      </c>
      <c r="I9" s="67" t="inlineStr">
        <is>
          <t>52x</t>
        </is>
      </c>
      <c r="J9" s="67" t="inlineStr">
        <is>
          <t>11%</t>
        </is>
      </c>
      <c r="K9" s="67" t="inlineStr">
        <is>
          <t>14.1%</t>
        </is>
      </c>
    </row>
    <row r="10">
      <c r="A10" s="57" t="inlineStr">
        <is>
          <t>Emami Ltd</t>
        </is>
      </c>
      <c r="B10" s="68" t="inlineStr">
        <is>
          <t>EMAMILTD</t>
        </is>
      </c>
      <c r="C10" s="69" t="n">
        <v>32000</v>
      </c>
      <c r="D10" s="69" t="n">
        <v>30500</v>
      </c>
      <c r="E10" s="68" t="inlineStr">
        <is>
          <t>6.2x</t>
        </is>
      </c>
      <c r="F10" s="68" t="inlineStr">
        <is>
          <t>5.8x</t>
        </is>
      </c>
      <c r="G10" s="68" t="inlineStr">
        <is>
          <t>29.8x</t>
        </is>
      </c>
      <c r="H10" s="68" t="inlineStr">
        <is>
          <t>27.6x</t>
        </is>
      </c>
      <c r="I10" s="68" t="inlineStr">
        <is>
          <t>44x</t>
        </is>
      </c>
      <c r="J10" s="68" t="inlineStr">
        <is>
          <t>8%</t>
        </is>
      </c>
      <c r="K10" s="68" t="inlineStr">
        <is>
          <t>20.8%</t>
        </is>
      </c>
    </row>
    <row r="11">
      <c r="A11" s="5" t="inlineStr">
        <is>
          <t>─── GLOBAL TOBACCO PEERS ───</t>
        </is>
      </c>
      <c r="B11" s="66" t="inlineStr"/>
      <c r="C11" s="66" t="inlineStr"/>
      <c r="D11" s="66" t="inlineStr"/>
      <c r="E11" s="66" t="inlineStr"/>
      <c r="F11" s="66" t="inlineStr"/>
      <c r="G11" s="66" t="inlineStr"/>
      <c r="H11" s="66" t="inlineStr"/>
      <c r="I11" s="66" t="inlineStr"/>
      <c r="J11" s="66" t="inlineStr"/>
      <c r="K11" s="66" t="inlineStr"/>
    </row>
    <row r="12">
      <c r="A12" s="9" t="inlineStr">
        <is>
          <t>BAT (British American Tobacco)</t>
        </is>
      </c>
      <c r="B12" s="67" t="inlineStr">
        <is>
          <t>BTI (LON)</t>
        </is>
      </c>
      <c r="C12" s="19" t="n">
        <v>470000</v>
      </c>
      <c r="D12" s="19" t="n">
        <v>890000</v>
      </c>
      <c r="E12" s="67" t="inlineStr">
        <is>
          <t>2.8x</t>
        </is>
      </c>
      <c r="F12" s="67" t="inlineStr">
        <is>
          <t>2.7x</t>
        </is>
      </c>
      <c r="G12" s="67" t="inlineStr">
        <is>
          <t>9.4x</t>
        </is>
      </c>
      <c r="H12" s="67" t="inlineStr">
        <is>
          <t>9.0x</t>
        </is>
      </c>
      <c r="I12" s="67" t="inlineStr">
        <is>
          <t>8x</t>
        </is>
      </c>
      <c r="J12" s="67" t="inlineStr">
        <is>
          <t>(2%)</t>
        </is>
      </c>
      <c r="K12" s="67" t="inlineStr">
        <is>
          <t>29.8%</t>
        </is>
      </c>
    </row>
    <row r="13">
      <c r="A13" s="57" t="inlineStr">
        <is>
          <t>Philip Morris International</t>
        </is>
      </c>
      <c r="B13" s="68" t="inlineStr">
        <is>
          <t>PM (NYSE)</t>
        </is>
      </c>
      <c r="C13" s="69" t="n">
        <v>1150000</v>
      </c>
      <c r="D13" s="69" t="n">
        <v>1380000</v>
      </c>
      <c r="E13" s="68" t="inlineStr">
        <is>
          <t>4.2x</t>
        </is>
      </c>
      <c r="F13" s="68" t="inlineStr">
        <is>
          <t>4.0x</t>
        </is>
      </c>
      <c r="G13" s="68" t="inlineStr">
        <is>
          <t>14.8x</t>
        </is>
      </c>
      <c r="H13" s="68" t="inlineStr">
        <is>
          <t>14.1x</t>
        </is>
      </c>
      <c r="I13" s="68" t="inlineStr">
        <is>
          <t>19x</t>
        </is>
      </c>
      <c r="J13" s="68" t="inlineStr">
        <is>
          <t>3%</t>
        </is>
      </c>
      <c r="K13" s="68" t="inlineStr">
        <is>
          <t>28.3%</t>
        </is>
      </c>
    </row>
    <row r="14">
      <c r="A14" s="5" t="inlineStr">
        <is>
          <t>─── INDIAN DIVERSIFIED ───</t>
        </is>
      </c>
      <c r="B14" s="66" t="inlineStr"/>
      <c r="C14" s="66" t="inlineStr"/>
      <c r="D14" s="66" t="inlineStr"/>
      <c r="E14" s="66" t="inlineStr"/>
      <c r="F14" s="66" t="inlineStr"/>
      <c r="G14" s="66" t="inlineStr"/>
      <c r="H14" s="66" t="inlineStr"/>
      <c r="I14" s="66" t="inlineStr"/>
      <c r="J14" s="66" t="inlineStr"/>
      <c r="K14" s="66" t="inlineStr"/>
    </row>
    <row r="15">
      <c r="A15" s="9" t="inlineStr">
        <is>
          <t>Godfrey Phillips India</t>
        </is>
      </c>
      <c r="B15" s="67" t="inlineStr">
        <is>
          <t>GODFRYPHLP</t>
        </is>
      </c>
      <c r="C15" s="19" t="n">
        <v>15200</v>
      </c>
      <c r="D15" s="19" t="n">
        <v>14800</v>
      </c>
      <c r="E15" s="67" t="inlineStr">
        <is>
          <t>1.8x</t>
        </is>
      </c>
      <c r="F15" s="67" t="inlineStr">
        <is>
          <t>1.7x</t>
        </is>
      </c>
      <c r="G15" s="67" t="inlineStr">
        <is>
          <t>16.2x</t>
        </is>
      </c>
      <c r="H15" s="67" t="inlineStr">
        <is>
          <t>14.9x</t>
        </is>
      </c>
      <c r="I15" s="67" t="inlineStr">
        <is>
          <t>22x</t>
        </is>
      </c>
      <c r="J15" s="67" t="inlineStr">
        <is>
          <t>5%</t>
        </is>
      </c>
      <c r="K15" s="67" t="inlineStr">
        <is>
          <t>11.1%</t>
        </is>
      </c>
    </row>
    <row r="16">
      <c r="A16" s="9" t="inlineStr"/>
      <c r="B16" s="67" t="inlineStr"/>
      <c r="C16" s="67" t="inlineStr"/>
      <c r="D16" s="67" t="inlineStr"/>
      <c r="E16" s="67" t="inlineStr"/>
      <c r="F16" s="67" t="inlineStr"/>
      <c r="G16" s="67" t="inlineStr"/>
      <c r="H16" s="67" t="inlineStr"/>
      <c r="I16" s="67" t="inlineStr"/>
      <c r="J16" s="67" t="inlineStr"/>
      <c r="K16" s="67" t="inlineStr"/>
    </row>
    <row r="17">
      <c r="A17" s="1" t="inlineStr">
        <is>
          <t>─── TARGET COMPANY ───</t>
        </is>
      </c>
      <c r="B17" s="70" t="inlineStr"/>
      <c r="C17" s="70" t="inlineStr"/>
      <c r="D17" s="70" t="inlineStr"/>
      <c r="E17" s="70" t="inlineStr"/>
      <c r="F17" s="70" t="inlineStr"/>
      <c r="G17" s="70" t="inlineStr"/>
      <c r="H17" s="70" t="inlineStr"/>
      <c r="I17" s="70" t="inlineStr"/>
      <c r="J17" s="70" t="inlineStr"/>
      <c r="K17" s="70" t="inlineStr"/>
    </row>
    <row r="18">
      <c r="A18" s="15" t="inlineStr">
        <is>
          <t>ITC Limited (for reference)</t>
        </is>
      </c>
      <c r="B18" s="71" t="inlineStr">
        <is>
          <t>ITC</t>
        </is>
      </c>
      <c r="C18" s="16" t="n">
        <v>387153</v>
      </c>
      <c r="D18" s="16" t="n">
        <v>359153</v>
      </c>
      <c r="E18" s="71" t="inlineStr">
        <is>
          <t>8.3x</t>
        </is>
      </c>
      <c r="F18" s="71" t="inlineStr">
        <is>
          <t>7.6x</t>
        </is>
      </c>
      <c r="G18" s="71" t="inlineStr">
        <is>
          <t>14.9x</t>
        </is>
      </c>
      <c r="H18" s="71" t="inlineStr">
        <is>
          <t>13.5x</t>
        </is>
      </c>
      <c r="I18" s="71" t="inlineStr">
        <is>
          <t>17x</t>
        </is>
      </c>
      <c r="J18" s="71" t="inlineStr">
        <is>
          <t>9%</t>
        </is>
      </c>
      <c r="K18" s="71" t="inlineStr">
        <is>
          <t>34.7%</t>
        </is>
      </c>
    </row>
    <row r="19">
      <c r="A19" s="9" t="inlineStr"/>
      <c r="B19" s="67" t="inlineStr"/>
      <c r="C19" s="67" t="inlineStr"/>
      <c r="D19" s="67" t="inlineStr"/>
      <c r="E19" s="67" t="inlineStr"/>
      <c r="F19" s="67" t="inlineStr"/>
      <c r="G19" s="67" t="inlineStr"/>
      <c r="H19" s="67" t="inlineStr"/>
      <c r="I19" s="67" t="inlineStr"/>
      <c r="J19" s="67" t="inlineStr"/>
      <c r="K19" s="67" t="inlineStr"/>
    </row>
    <row r="20">
      <c r="A20" s="5" t="inlineStr">
        <is>
          <t>─── STATISTICAL SUMMARY ───</t>
        </is>
      </c>
      <c r="B20" s="66" t="inlineStr"/>
      <c r="C20" s="66" t="inlineStr"/>
      <c r="D20" s="66" t="inlineStr"/>
      <c r="E20" s="66" t="inlineStr"/>
      <c r="F20" s="66" t="inlineStr"/>
      <c r="G20" s="66" t="inlineStr"/>
      <c r="H20" s="66" t="inlineStr"/>
      <c r="I20" s="66" t="inlineStr"/>
      <c r="J20" s="66" t="inlineStr"/>
      <c r="K20" s="66" t="inlineStr"/>
    </row>
    <row r="21">
      <c r="A21" s="11" t="inlineStr">
        <is>
          <t>Maximum</t>
        </is>
      </c>
      <c r="B21" s="72" t="inlineStr"/>
      <c r="C21" s="12" t="n">
        <v>1150000</v>
      </c>
      <c r="D21" s="12" t="n">
        <v>1380000</v>
      </c>
      <c r="E21" s="72" t="inlineStr">
        <is>
          <t>12.8x</t>
        </is>
      </c>
      <c r="F21" s="72" t="inlineStr">
        <is>
          <t>11.9x</t>
        </is>
      </c>
      <c r="G21" s="72" t="inlineStr">
        <is>
          <t>55.2x</t>
        </is>
      </c>
      <c r="H21" s="72" t="inlineStr">
        <is>
          <t>51.4x</t>
        </is>
      </c>
      <c r="I21" s="72" t="inlineStr">
        <is>
          <t>72x</t>
        </is>
      </c>
      <c r="J21" s="72" t="inlineStr">
        <is>
          <t>11%</t>
        </is>
      </c>
      <c r="K21" s="72" t="inlineStr">
        <is>
          <t>29.8%</t>
        </is>
      </c>
    </row>
    <row r="22">
      <c r="A22" s="11" t="inlineStr">
        <is>
          <t>75th Percentile</t>
        </is>
      </c>
      <c r="B22" s="72" t="inlineStr"/>
      <c r="C22" s="12" t="n">
        <v>470000</v>
      </c>
      <c r="D22" s="12" t="n">
        <v>890000</v>
      </c>
      <c r="E22" s="72" t="inlineStr">
        <is>
          <t>6.9x</t>
        </is>
      </c>
      <c r="F22" s="72" t="inlineStr">
        <is>
          <t>6.4x</t>
        </is>
      </c>
      <c r="G22" s="72" t="inlineStr">
        <is>
          <t>34.2x</t>
        </is>
      </c>
      <c r="H22" s="72" t="inlineStr">
        <is>
          <t>31.5x</t>
        </is>
      </c>
      <c r="I22" s="72" t="inlineStr">
        <is>
          <t>52x</t>
        </is>
      </c>
      <c r="J22" s="72" t="inlineStr">
        <is>
          <t>9%</t>
        </is>
      </c>
      <c r="K22" s="72" t="inlineStr">
        <is>
          <t>23.2%</t>
        </is>
      </c>
    </row>
    <row r="23">
      <c r="A23" s="15" t="inlineStr">
        <is>
          <t>Median</t>
        </is>
      </c>
      <c r="B23" s="71" t="inlineStr"/>
      <c r="C23" s="16" t="n">
        <v>93500</v>
      </c>
      <c r="D23" s="16" t="n">
        <v>91000</v>
      </c>
      <c r="E23" s="71" t="inlineStr">
        <is>
          <t>5.1x</t>
        </is>
      </c>
      <c r="F23" s="71" t="inlineStr">
        <is>
          <t>4.7x</t>
        </is>
      </c>
      <c r="G23" s="71" t="inlineStr">
        <is>
          <t>29.8x</t>
        </is>
      </c>
      <c r="H23" s="71" t="inlineStr">
        <is>
          <t>27.6x</t>
        </is>
      </c>
      <c r="I23" s="71" t="inlineStr">
        <is>
          <t>44x</t>
        </is>
      </c>
      <c r="J23" s="71" t="inlineStr">
        <is>
          <t>7%</t>
        </is>
      </c>
      <c r="K23" s="71" t="inlineStr">
        <is>
          <t>20.8%</t>
        </is>
      </c>
    </row>
    <row r="24">
      <c r="A24" s="15" t="inlineStr">
        <is>
          <t>25th Percentile</t>
        </is>
      </c>
      <c r="B24" s="71" t="inlineStr"/>
      <c r="C24" s="16" t="n">
        <v>32000</v>
      </c>
      <c r="D24" s="16" t="n">
        <v>30500</v>
      </c>
      <c r="E24" s="71" t="inlineStr">
        <is>
          <t>3.5x</t>
        </is>
      </c>
      <c r="F24" s="71" t="inlineStr">
        <is>
          <t>3.4x</t>
        </is>
      </c>
      <c r="G24" s="71" t="inlineStr">
        <is>
          <t>14.8x</t>
        </is>
      </c>
      <c r="H24" s="71" t="inlineStr">
        <is>
          <t>14.1x</t>
        </is>
      </c>
      <c r="I24" s="71" t="inlineStr">
        <is>
          <t>22x</t>
        </is>
      </c>
      <c r="J24" s="71" t="inlineStr">
        <is>
          <t>5%</t>
        </is>
      </c>
      <c r="K24" s="71" t="inlineStr">
        <is>
          <t>17.8%</t>
        </is>
      </c>
    </row>
    <row r="25">
      <c r="A25" s="73" t="inlineStr">
        <is>
          <t>Minimum</t>
        </is>
      </c>
      <c r="B25" s="74" t="inlineStr"/>
      <c r="C25" s="75" t="n">
        <v>15200</v>
      </c>
      <c r="D25" s="75" t="n">
        <v>14800</v>
      </c>
      <c r="E25" s="74" t="inlineStr">
        <is>
          <t>1.8x</t>
        </is>
      </c>
      <c r="F25" s="74" t="inlineStr">
        <is>
          <t>1.7x</t>
        </is>
      </c>
      <c r="G25" s="74" t="inlineStr">
        <is>
          <t>9.4x</t>
        </is>
      </c>
      <c r="H25" s="74" t="inlineStr">
        <is>
          <t>9.0x</t>
        </is>
      </c>
      <c r="I25" s="74" t="inlineStr">
        <is>
          <t>8x</t>
        </is>
      </c>
      <c r="J25" s="74" t="inlineStr">
        <is>
          <t>(2%)</t>
        </is>
      </c>
      <c r="K25" s="74" t="inlineStr">
        <is>
          <t>11.1%</t>
        </is>
      </c>
    </row>
    <row r="26">
      <c r="A26" s="9" t="inlineStr"/>
      <c r="B26" s="67" t="inlineStr"/>
      <c r="C26" s="67" t="inlineStr"/>
      <c r="D26" s="67" t="inlineStr"/>
      <c r="E26" s="67" t="inlineStr"/>
      <c r="F26" s="67" t="inlineStr"/>
      <c r="G26" s="67" t="inlineStr"/>
      <c r="H26" s="67" t="inlineStr"/>
      <c r="I26" s="67" t="inlineStr"/>
      <c r="J26" s="67" t="inlineStr"/>
      <c r="K26" s="67" t="inlineStr"/>
    </row>
    <row r="27">
      <c r="A27" s="1" t="inlineStr">
        <is>
          <t>─── BLENDED MULTIPLE APPLICATION ───</t>
        </is>
      </c>
      <c r="B27" s="70" t="inlineStr"/>
      <c r="C27" s="70" t="inlineStr"/>
      <c r="D27" s="70" t="inlineStr"/>
      <c r="E27" s="70" t="inlineStr"/>
      <c r="F27" s="70" t="inlineStr"/>
      <c r="G27" s="70" t="inlineStr"/>
      <c r="H27" s="70" t="inlineStr"/>
      <c r="I27" s="70" t="inlineStr"/>
      <c r="J27" s="70" t="inlineStr"/>
      <c r="K27" s="70" t="inlineStr"/>
    </row>
    <row r="28">
      <c r="A28" s="7" t="inlineStr">
        <is>
          <t>Blended Target EV/EBITDA (FY26E NTM)</t>
        </is>
      </c>
      <c r="B28" s="76" t="inlineStr"/>
      <c r="C28" s="76" t="inlineStr"/>
      <c r="D28" s="76" t="inlineStr">
        <is>
          <t>17.0x</t>
        </is>
      </c>
      <c r="E28" s="76" t="inlineStr"/>
      <c r="F28" s="76" t="inlineStr"/>
      <c r="G28" s="76" t="inlineStr"/>
      <c r="H28" s="76" t="inlineStr"/>
      <c r="I28" s="76" t="inlineStr"/>
      <c r="J28" s="76" t="inlineStr"/>
      <c r="K28" s="76" t="inlineStr"/>
    </row>
    <row r="29">
      <c r="A29" s="7" t="inlineStr">
        <is>
          <t>ITC FY26E EBITDA (Rs Cr)</t>
        </is>
      </c>
      <c r="B29" s="76" t="inlineStr"/>
      <c r="C29" s="76" t="inlineStr"/>
      <c r="D29" s="76" t="inlineStr">
        <is>
          <t>26670</t>
        </is>
      </c>
      <c r="E29" s="76" t="inlineStr"/>
      <c r="F29" s="76" t="inlineStr"/>
      <c r="G29" s="76" t="inlineStr"/>
      <c r="H29" s="76" t="inlineStr"/>
      <c r="I29" s="76" t="inlineStr"/>
      <c r="J29" s="76" t="inlineStr"/>
      <c r="K29" s="76" t="inlineStr"/>
    </row>
    <row r="30">
      <c r="A30" s="54" t="inlineStr">
        <is>
          <t>Implied EV at 17.0x</t>
        </is>
      </c>
      <c r="B30" s="77" t="inlineStr"/>
      <c r="C30" s="77" t="inlineStr"/>
      <c r="D30" s="77" t="inlineStr">
        <is>
          <t>453390</t>
        </is>
      </c>
      <c r="E30" s="77" t="inlineStr"/>
      <c r="F30" s="77" t="inlineStr"/>
      <c r="G30" s="77" t="inlineStr"/>
      <c r="H30" s="77" t="inlineStr"/>
      <c r="I30" s="77" t="inlineStr"/>
      <c r="J30" s="77" t="inlineStr"/>
      <c r="K30" s="77" t="inlineStr"/>
    </row>
    <row r="31">
      <c r="A31" s="54" t="inlineStr">
        <is>
          <t>+ Net Cash</t>
        </is>
      </c>
      <c r="B31" s="77" t="inlineStr"/>
      <c r="C31" s="77" t="inlineStr"/>
      <c r="D31" s="77" t="inlineStr">
        <is>
          <t>28000</t>
        </is>
      </c>
      <c r="E31" s="77" t="inlineStr"/>
      <c r="F31" s="77" t="inlineStr"/>
      <c r="G31" s="77" t="inlineStr"/>
      <c r="H31" s="77" t="inlineStr"/>
      <c r="I31" s="77" t="inlineStr"/>
      <c r="J31" s="77" t="inlineStr"/>
      <c r="K31" s="77" t="inlineStr"/>
    </row>
    <row r="32">
      <c r="A32" s="78" t="inlineStr">
        <is>
          <t>Implied Equity Value per Share (Rs)</t>
        </is>
      </c>
      <c r="B32" s="51" t="inlineStr"/>
      <c r="C32" s="51" t="inlineStr"/>
      <c r="D32" s="51" t="inlineStr">
        <is>
          <t>376</t>
        </is>
      </c>
      <c r="E32" s="51" t="inlineStr"/>
      <c r="F32" s="51" t="inlineStr"/>
      <c r="G32" s="51" t="inlineStr"/>
      <c r="H32" s="51" t="inlineStr"/>
      <c r="I32" s="51" t="inlineStr"/>
      <c r="J32" s="51" t="inlineStr"/>
      <c r="K32" s="51" t="inlineStr"/>
    </row>
    <row r="34">
      <c r="A34" s="79" t="inlineStr">
        <is>
          <t>Note: Market data as of March 12, 2026. LTM = Last Twelve Months. NTM = Next Twelve Months (FY26E).</t>
        </is>
      </c>
    </row>
    <row r="35">
      <c r="A35" s="79" t="inlineStr">
        <is>
          <t>Source: Bloomberg (hypothetical), company filings, analyst estimates. Global peers converted at ₹84.5/USD.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ITC LIMITED — VALUATION SUMMARY &amp; PRICE TARGET</t>
        </is>
      </c>
      <c r="B1" s="2" t="n"/>
      <c r="C1" s="2" t="n"/>
      <c r="D1" s="2" t="n"/>
      <c r="E1" s="2" t="n"/>
      <c r="F1" s="3" t="n"/>
    </row>
    <row r="2">
      <c r="A2" s="4" t="inlineStr">
        <is>
          <t>Methodology</t>
        </is>
      </c>
      <c r="B2" s="4" t="inlineStr">
        <is>
          <t>Weight</t>
        </is>
      </c>
      <c r="C2" s="4" t="inlineStr">
        <is>
          <t>Low (₹)</t>
        </is>
      </c>
      <c r="D2" s="4" t="inlineStr">
        <is>
          <t>Base (₹)</t>
        </is>
      </c>
      <c r="E2" s="4" t="inlineStr">
        <is>
          <t>High (₹)</t>
        </is>
      </c>
      <c r="F2" s="4" t="inlineStr">
        <is>
          <t>Wtd Contribution (₹)</t>
        </is>
      </c>
    </row>
    <row r="3">
      <c r="A3" s="9" t="inlineStr">
        <is>
          <t>DCF — Consolidated (WACC 11.59%, g 6%)</t>
        </is>
      </c>
      <c r="B3" s="60" t="inlineStr">
        <is>
          <t>35%</t>
        </is>
      </c>
      <c r="C3" s="19" t="n">
        <v>240</v>
      </c>
      <c r="D3" s="19" t="n">
        <v>278</v>
      </c>
      <c r="E3" s="19" t="n">
        <v>338</v>
      </c>
      <c r="F3" s="19" t="n">
        <v>97</v>
      </c>
    </row>
    <row r="4">
      <c r="A4" s="9" t="inlineStr">
        <is>
          <t>SOTP DCF (Segment-level)</t>
        </is>
      </c>
      <c r="B4" s="60" t="inlineStr">
        <is>
          <t>15%</t>
        </is>
      </c>
      <c r="C4" s="19" t="n">
        <v>250</v>
      </c>
      <c r="D4" s="19" t="n">
        <v>269</v>
      </c>
      <c r="E4" s="19" t="n">
        <v>310</v>
      </c>
      <c r="F4" s="19" t="n">
        <v>40</v>
      </c>
    </row>
    <row r="5">
      <c r="A5" s="9" t="inlineStr">
        <is>
          <t>EV/EBITDA Comps (blended 16–18.5x NTM)</t>
        </is>
      </c>
      <c r="B5" s="60" t="inlineStr">
        <is>
          <t>35%</t>
        </is>
      </c>
      <c r="C5" s="19" t="n">
        <v>330</v>
      </c>
      <c r="D5" s="19" t="n">
        <v>375</v>
      </c>
      <c r="E5" s="19" t="n">
        <v>423</v>
      </c>
      <c r="F5" s="19" t="n">
        <v>131</v>
      </c>
    </row>
    <row r="6">
      <c r="A6" s="9" t="inlineStr">
        <is>
          <t>P/E Comps (blended 16–24x FY26E EPS)</t>
        </is>
      </c>
      <c r="B6" s="60" t="inlineStr">
        <is>
          <t>10%</t>
        </is>
      </c>
      <c r="C6" s="19" t="n">
        <v>286</v>
      </c>
      <c r="D6" s="19" t="n">
        <v>358</v>
      </c>
      <c r="E6" s="19" t="n">
        <v>430</v>
      </c>
      <c r="F6" s="19" t="n">
        <v>36</v>
      </c>
    </row>
    <row r="7">
      <c r="A7" s="9" t="inlineStr">
        <is>
          <t>DDM (Dividend Discount Model — Floor)</t>
        </is>
      </c>
      <c r="B7" s="60" t="inlineStr">
        <is>
          <t>5%</t>
        </is>
      </c>
      <c r="C7" s="19" t="n">
        <v>160</v>
      </c>
      <c r="D7" s="19" t="n">
        <v>174</v>
      </c>
      <c r="E7" s="19" t="n">
        <v>190</v>
      </c>
      <c r="F7" s="19" t="n">
        <v>9</v>
      </c>
    </row>
    <row r="8">
      <c r="A8" s="15" t="inlineStr">
        <is>
          <t>WEIGHTED AVERAGE VALUE</t>
        </is>
      </c>
      <c r="B8" s="62" t="inlineStr">
        <is>
          <t>100%</t>
        </is>
      </c>
      <c r="C8" s="16" t="n"/>
      <c r="D8" s="16" t="n">
        <v>313</v>
      </c>
      <c r="E8" s="16" t="n"/>
      <c r="F8" s="16" t="n">
        <v>313</v>
      </c>
    </row>
    <row r="9">
      <c r="A9" s="11" t="inlineStr">
        <is>
          <t>12-MONTH PRICE TARGET (Rounded)</t>
        </is>
      </c>
      <c r="D9" s="12" t="n">
        <v>380</v>
      </c>
    </row>
    <row r="11">
      <c r="A11" s="1" t="inlineStr">
        <is>
          <t>INVESTMENT RECOMMENDATION</t>
        </is>
      </c>
      <c r="B11" s="2" t="n"/>
      <c r="C11" s="2" t="n"/>
      <c r="D11" s="2" t="n"/>
      <c r="E11" s="2" t="n"/>
      <c r="F11" s="3" t="n"/>
    </row>
    <row r="12">
      <c r="A12" s="78" t="inlineStr">
        <is>
          <t>Rating</t>
        </is>
      </c>
      <c r="B12" s="62" t="inlineStr">
        <is>
          <t>BUY</t>
        </is>
      </c>
      <c r="C12" s="48" t="n"/>
      <c r="D12" s="48" t="n"/>
      <c r="E12" s="48" t="n"/>
      <c r="F12" s="48" t="n"/>
    </row>
    <row r="13">
      <c r="A13" s="9" t="inlineStr">
        <is>
          <t>Current Market Price</t>
        </is>
      </c>
      <c r="B13" s="80" t="inlineStr">
        <is>
          <t>₹306.80</t>
        </is>
      </c>
      <c r="C13" s="49" t="n"/>
      <c r="D13" s="49" t="n"/>
      <c r="E13" s="49" t="n"/>
      <c r="F13" s="49" t="n"/>
    </row>
    <row r="14">
      <c r="A14" s="54" t="inlineStr">
        <is>
          <t>12-Month Price Target</t>
        </is>
      </c>
      <c r="B14" s="81" t="inlineStr">
        <is>
          <t>₹380</t>
        </is>
      </c>
      <c r="C14" s="45" t="n"/>
      <c r="D14" s="45" t="n"/>
      <c r="E14" s="45" t="n"/>
      <c r="F14" s="45" t="n"/>
    </row>
    <row r="15">
      <c r="A15" s="54" t="inlineStr">
        <is>
          <t>Price Upside</t>
        </is>
      </c>
      <c r="B15" s="81" t="inlineStr">
        <is>
          <t>+23.8%</t>
        </is>
      </c>
      <c r="C15" s="45" t="n"/>
      <c r="D15" s="45" t="n"/>
      <c r="E15" s="45" t="n"/>
      <c r="F15" s="45" t="n"/>
    </row>
    <row r="16">
      <c r="A16" s="9" t="inlineStr">
        <is>
          <t>FY26E Dividend Yield</t>
        </is>
      </c>
      <c r="B16" s="80" t="inlineStr">
        <is>
          <t>3.1%</t>
        </is>
      </c>
      <c r="C16" s="49" t="n"/>
      <c r="D16" s="49" t="n"/>
      <c r="E16" s="49" t="n"/>
      <c r="F16" s="49" t="n"/>
    </row>
    <row r="17">
      <c r="A17" s="54" t="inlineStr">
        <is>
          <t>Total Return (Price + Div)</t>
        </is>
      </c>
      <c r="B17" s="81" t="inlineStr">
        <is>
          <t>~27%</t>
        </is>
      </c>
      <c r="C17" s="45" t="n"/>
      <c r="D17" s="45" t="n"/>
      <c r="E17" s="45" t="n"/>
      <c r="F17" s="45" t="n"/>
    </row>
    <row r="18">
      <c r="A18" s="9" t="inlineStr">
        <is>
          <t>FY26E P/E</t>
        </is>
      </c>
      <c r="B18" s="80" t="inlineStr">
        <is>
          <t>17.1x</t>
        </is>
      </c>
      <c r="C18" s="49" t="n"/>
      <c r="D18" s="49" t="n"/>
      <c r="E18" s="49" t="n"/>
      <c r="F18" s="49" t="n"/>
    </row>
    <row r="19">
      <c r="A19" s="9" t="inlineStr">
        <is>
          <t>FY26E EV/EBITDA</t>
        </is>
      </c>
      <c r="B19" s="80" t="inlineStr">
        <is>
          <t>13.5x</t>
        </is>
      </c>
      <c r="C19" s="49" t="n"/>
      <c r="D19" s="49" t="n"/>
      <c r="E19" s="49" t="n"/>
      <c r="F19" s="49" t="n"/>
    </row>
    <row r="21">
      <c r="A21" s="5" t="inlineStr">
        <is>
          <t>VALUATION FOOTBALL FIELD SUMMARY</t>
        </is>
      </c>
      <c r="B21" s="2" t="n"/>
      <c r="C21" s="2" t="n"/>
      <c r="D21" s="2" t="n"/>
      <c r="E21" s="2" t="n"/>
      <c r="F21" s="3" t="n"/>
    </row>
    <row r="22">
      <c r="A22" s="4" t="inlineStr">
        <is>
          <t>Method</t>
        </is>
      </c>
      <c r="B22" s="4" t="inlineStr">
        <is>
          <t>Low (₹)</t>
        </is>
      </c>
      <c r="C22" s="4" t="inlineStr">
        <is>
          <t>High (₹)</t>
        </is>
      </c>
      <c r="D22" s="82" t="inlineStr">
        <is>
          <t>CMP: ₹307</t>
        </is>
      </c>
      <c r="E22" s="83" t="inlineStr">
        <is>
          <t>Target: ₹380</t>
        </is>
      </c>
    </row>
    <row r="23">
      <c r="A23" s="9" t="inlineStr">
        <is>
          <t>52-Week Range</t>
        </is>
      </c>
      <c r="B23" s="19" t="n">
        <v>296</v>
      </c>
      <c r="C23" s="19" t="n">
        <v>444</v>
      </c>
      <c r="D23" s="50" t="n">
        <v>307</v>
      </c>
      <c r="E23" s="55" t="n">
        <v>380</v>
      </c>
    </row>
    <row r="24">
      <c r="A24" s="9" t="inlineStr">
        <is>
          <t>DCF (Consolidated)</t>
        </is>
      </c>
      <c r="B24" s="19" t="n">
        <v>240</v>
      </c>
      <c r="C24" s="19" t="n">
        <v>338</v>
      </c>
      <c r="D24" s="50" t="n">
        <v>307</v>
      </c>
      <c r="E24" s="55" t="n">
        <v>380</v>
      </c>
    </row>
    <row r="25">
      <c r="A25" s="9" t="inlineStr">
        <is>
          <t>SOTP DCF</t>
        </is>
      </c>
      <c r="B25" s="19" t="n">
        <v>250</v>
      </c>
      <c r="C25" s="19" t="n">
        <v>310</v>
      </c>
      <c r="D25" s="50" t="n">
        <v>307</v>
      </c>
      <c r="E25" s="55" t="n">
        <v>380</v>
      </c>
    </row>
    <row r="26">
      <c r="A26" s="9" t="inlineStr">
        <is>
          <t>EV/EBITDA Comps</t>
        </is>
      </c>
      <c r="B26" s="19" t="n">
        <v>330</v>
      </c>
      <c r="C26" s="19" t="n">
        <v>423</v>
      </c>
      <c r="D26" s="50" t="n">
        <v>307</v>
      </c>
      <c r="E26" s="55" t="n">
        <v>380</v>
      </c>
    </row>
    <row r="27">
      <c r="A27" s="9" t="inlineStr">
        <is>
          <t>P/E Comps</t>
        </is>
      </c>
      <c r="B27" s="19" t="n">
        <v>286</v>
      </c>
      <c r="C27" s="19" t="n">
        <v>430</v>
      </c>
      <c r="D27" s="50" t="n">
        <v>307</v>
      </c>
      <c r="E27" s="55" t="n">
        <v>380</v>
      </c>
    </row>
    <row r="28">
      <c r="A28" s="9" t="inlineStr">
        <is>
          <t>DDM (Floor)</t>
        </is>
      </c>
      <c r="B28" s="19" t="n">
        <v>160</v>
      </c>
      <c r="C28" s="19" t="n">
        <v>190</v>
      </c>
      <c r="D28" s="50" t="n">
        <v>307</v>
      </c>
      <c r="E28" s="55" t="n">
        <v>380</v>
      </c>
    </row>
    <row r="29">
      <c r="A29" s="9" t="inlineStr">
        <is>
          <t>Probability-Wtd PT</t>
        </is>
      </c>
      <c r="B29" s="19" t="n">
        <v>360</v>
      </c>
      <c r="C29" s="19" t="n">
        <v>395</v>
      </c>
      <c r="D29" s="50" t="n">
        <v>307</v>
      </c>
      <c r="E29" s="55" t="n">
        <v>380</v>
      </c>
    </row>
    <row r="31">
      <c r="A31" s="5" t="inlineStr">
        <is>
          <t>SCENARIO PROBABILITY-WEIGHTED VALUATION</t>
        </is>
      </c>
      <c r="B31" s="2" t="n"/>
      <c r="C31" s="2" t="n"/>
      <c r="D31" s="2" t="n"/>
      <c r="E31" s="2" t="n"/>
      <c r="F31" s="3" t="n"/>
    </row>
    <row r="32">
      <c r="A32" s="4" t="inlineStr">
        <is>
          <t>Scenario</t>
        </is>
      </c>
      <c r="B32" s="4" t="inlineStr">
        <is>
          <t>Probability</t>
        </is>
      </c>
      <c r="C32" s="4" t="inlineStr">
        <is>
          <t>Price (₹)</t>
        </is>
      </c>
      <c r="D32" s="4" t="inlineStr">
        <is>
          <t>Exp. Value (₹)</t>
        </is>
      </c>
      <c r="E32" s="4" t="inlineStr">
        <is>
          <t>Key Driver</t>
        </is>
      </c>
      <c r="F32" s="4" t="inlineStr"/>
    </row>
    <row r="33">
      <c r="A33" s="11" t="inlineStr">
        <is>
          <t>Bull Case</t>
        </is>
      </c>
      <c r="B33" s="81" t="inlineStr">
        <is>
          <t>25%</t>
        </is>
      </c>
      <c r="C33" s="12" t="n">
        <v>480</v>
      </c>
      <c r="D33" s="55" t="n">
        <v>120</v>
      </c>
      <c r="E33" s="54" t="inlineStr">
        <is>
          <t>Vol –1% pa; FMCG 10%+ margin; Hotels re-rates</t>
        </is>
      </c>
      <c r="F33" s="77" t="inlineStr"/>
    </row>
    <row r="34">
      <c r="A34" s="15" t="inlineStr">
        <is>
          <t>Base Case</t>
        </is>
      </c>
      <c r="B34" s="62" t="inlineStr">
        <is>
          <t>55%</t>
        </is>
      </c>
      <c r="C34" s="16" t="n">
        <v>380</v>
      </c>
      <c r="D34" s="50" t="n">
        <v>209</v>
      </c>
      <c r="E34" s="78" t="inlineStr">
        <is>
          <t>Vol –2% pa; FMCG 7% margin; gradual re-rating</t>
        </is>
      </c>
      <c r="F34" s="51" t="inlineStr"/>
    </row>
    <row r="35">
      <c r="A35" s="73" t="inlineStr">
        <is>
          <t>Bear Case</t>
        </is>
      </c>
      <c r="B35" s="84" t="inlineStr">
        <is>
          <t>20%</t>
        </is>
      </c>
      <c r="C35" s="75" t="n">
        <v>240</v>
      </c>
      <c r="D35" s="58" t="n">
        <v>48</v>
      </c>
      <c r="E35" s="85" t="inlineStr">
        <is>
          <t>Vol –5% pa; illicit surges; excise hike again</t>
        </is>
      </c>
      <c r="F35" s="86" t="inlineStr"/>
    </row>
    <row r="36">
      <c r="A36" s="15" t="inlineStr">
        <is>
          <t>PROBABILITY-WEIGHTED TARGET</t>
        </is>
      </c>
      <c r="B36" s="62" t="inlineStr">
        <is>
          <t>100%</t>
        </is>
      </c>
      <c r="C36" s="16" t="n">
        <v>377</v>
      </c>
      <c r="D36" s="16" t="n">
        <v>377</v>
      </c>
      <c r="E36" s="78" t="inlineStr">
        <is>
          <t>Rounds to ₹380</t>
        </is>
      </c>
      <c r="F36" s="51" t="inlineStr"/>
    </row>
  </sheetData>
  <mergeCells count="4">
    <mergeCell ref="A31:F31"/>
    <mergeCell ref="A21:F21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2026-03-12T11:10:42Z</dcterms:created>
  <dcterms:modified xsi:type="dcterms:W3CDTF">2026-03-12T11:23:32Z</dcterms:modified>
</cp:coreProperties>
</file>